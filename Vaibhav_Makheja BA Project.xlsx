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09B8F045-B71C-4394-BF11-533684EC1CF9}" xr6:coauthVersionLast="47" xr6:coauthVersionMax="47" xr10:uidLastSave="{00000000-0000-0000-0000-000000000000}"/>
  <bookViews>
    <workbookView xWindow="-120" yWindow="-120" windowWidth="20730" windowHeight="11040" firstSheet="1" activeTab="8" xr2:uid="{4A6377C7-876D-48A4-BC1A-BCE063BA05A7}"/>
  </bookViews>
  <sheets>
    <sheet name="Product Backlog" sheetId="1" r:id="rId1"/>
    <sheet name="Sprint 1" sheetId="2" r:id="rId2"/>
    <sheet name="Sprint 2" sheetId="3" r:id="rId3"/>
    <sheet name="Sprint 3" sheetId="4" r:id="rId4"/>
    <sheet name="Sprint 4" sheetId="10" r:id="rId5"/>
    <sheet name="Sprint 5" sheetId="6" r:id="rId6"/>
    <sheet name="Sprint 6" sheetId="7" r:id="rId7"/>
    <sheet name="Sprint 7" sheetId="8" r:id="rId8"/>
    <sheet name="Sprint 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9" l="1"/>
  <c r="F29" i="9"/>
  <c r="E29" i="9"/>
  <c r="F29" i="8"/>
  <c r="E29" i="8"/>
  <c r="D29" i="8"/>
  <c r="F29" i="7"/>
  <c r="E29" i="7"/>
  <c r="D29" i="7"/>
  <c r="G29" i="6"/>
  <c r="F29" i="6"/>
  <c r="E29" i="6"/>
  <c r="F29" i="10"/>
  <c r="E29" i="10"/>
  <c r="D29" i="10"/>
  <c r="G29" i="4"/>
  <c r="F29" i="4"/>
  <c r="E29" i="4"/>
  <c r="F29" i="2"/>
  <c r="G29" i="2"/>
  <c r="E29" i="2"/>
  <c r="E29" i="3"/>
  <c r="F29" i="3"/>
  <c r="D29" i="3"/>
</calcChain>
</file>

<file path=xl/sharedStrings.xml><?xml version="1.0" encoding="utf-8"?>
<sst xmlns="http://schemas.openxmlformats.org/spreadsheetml/2006/main" count="459" uniqueCount="172">
  <si>
    <t>STATUS</t>
  </si>
  <si>
    <t>PRIORITY</t>
  </si>
  <si>
    <t>TASK</t>
  </si>
  <si>
    <t>ROLE</t>
  </si>
  <si>
    <t>USER STORY ID</t>
  </si>
  <si>
    <t>SPRINT</t>
  </si>
  <si>
    <t>USER STORY</t>
  </si>
  <si>
    <t>US1</t>
  </si>
  <si>
    <t>As a project manager, I want a clear project roadmap, so I can track progress.</t>
  </si>
  <si>
    <t>Project Manager</t>
  </si>
  <si>
    <t>Prepare project timeline, requirement and resource gathering is done.</t>
  </si>
  <si>
    <t>High</t>
  </si>
  <si>
    <t>US2</t>
  </si>
  <si>
    <t xml:space="preserve">	As a frontend developer, I need to design mockups and wireframes.</t>
  </si>
  <si>
    <t>Create UI for Home screen(dashboard, login screen)</t>
  </si>
  <si>
    <t>US3</t>
  </si>
  <si>
    <t>As an admin, I want to manage users.</t>
  </si>
  <si>
    <t>Backend Developer</t>
  </si>
  <si>
    <t>Frontend Developer</t>
  </si>
  <si>
    <t xml:space="preserve">Set up version control, build tools, and deployment of backend infrastructure	</t>
  </si>
  <si>
    <t>US4</t>
  </si>
  <si>
    <t>Frontend, Backend</t>
  </si>
  <si>
    <t>Frontend: Designs UI for Register and Login Page                                                        Backend: Implements Data processing and Login API.</t>
  </si>
  <si>
    <t>US5</t>
  </si>
  <si>
    <t xml:space="preserve">As an admin, I want to manage users.	</t>
  </si>
  <si>
    <t xml:space="preserve">User Authentication </t>
  </si>
  <si>
    <t>Medium</t>
  </si>
  <si>
    <t>Completed</t>
  </si>
  <si>
    <t>US6</t>
  </si>
  <si>
    <t>User  can search for travel packages</t>
  </si>
  <si>
    <t>Backend, Frontend</t>
  </si>
  <si>
    <t>Build search API and integrate UI</t>
  </si>
  <si>
    <t>Build APIs and admin dashboard UI</t>
  </si>
  <si>
    <t>US7</t>
  </si>
  <si>
    <t>US8</t>
  </si>
  <si>
    <t>US9</t>
  </si>
  <si>
    <t>US10</t>
  </si>
  <si>
    <t>US11</t>
  </si>
  <si>
    <t>US12</t>
  </si>
  <si>
    <t>US13</t>
  </si>
  <si>
    <t>Users can filter packages by price, date, etc.</t>
  </si>
  <si>
    <t>Implement filtering in APIs and UI.</t>
  </si>
  <si>
    <t xml:space="preserve">High </t>
  </si>
  <si>
    <t>Users can book travel packages.</t>
  </si>
  <si>
    <t>Develop booking API and integrate UI.</t>
  </si>
  <si>
    <t>Users can view their booking history.</t>
  </si>
  <si>
    <t xml:space="preserve">Backend, Frontend </t>
  </si>
  <si>
    <t>Build history API and display UI.</t>
  </si>
  <si>
    <t>Secure payments for bookings.</t>
  </si>
  <si>
    <t>Integrate payment gateway and design UI.</t>
  </si>
  <si>
    <t>Admins can manage travel packages and view analytics.</t>
  </si>
  <si>
    <t>Develop CRUD APIs and create analytics UI.</t>
  </si>
  <si>
    <t>Ensure bug-free and efficient system.</t>
  </si>
  <si>
    <t>US14</t>
  </si>
  <si>
    <t>As an admin, I want to view booking statistics.</t>
  </si>
  <si>
    <t>Backend develops Analytics API, while Frontend Develops Admin UI for Booking reports</t>
  </si>
  <si>
    <t>As a QA tester, I want to test the system for bugs.</t>
  </si>
  <si>
    <t>QA Tester</t>
  </si>
  <si>
    <t>As a developer, I want to optimize system performance.</t>
  </si>
  <si>
    <t>Backend</t>
  </si>
  <si>
    <t>Optimize queries and improve API Perfomance</t>
  </si>
  <si>
    <t>US15</t>
  </si>
  <si>
    <t>As a developer, I want to deploy the system to production.</t>
  </si>
  <si>
    <t xml:space="preserve">Deploy to production server, ensure final tests are completed.	</t>
  </si>
  <si>
    <t>US16</t>
  </si>
  <si>
    <t>As a project manager, I want to review project progress and gather feedback.</t>
  </si>
  <si>
    <t xml:space="preserve">  Project Manager	</t>
  </si>
  <si>
    <t>Conduct retrospective, document lessons learned.</t>
  </si>
  <si>
    <t>SR No.</t>
  </si>
  <si>
    <t>Initial Setup and Feature Understanding</t>
  </si>
  <si>
    <t>Project Manager, BA, and Developers</t>
  </si>
  <si>
    <t>Role</t>
  </si>
  <si>
    <t>Backend Developer 1</t>
  </si>
  <si>
    <t>Backend Developer 2</t>
  </si>
  <si>
    <t>Business Analyst</t>
  </si>
  <si>
    <t>Sprint 2 (2 Weeks)</t>
  </si>
  <si>
    <t>Sprint 8</t>
  </si>
  <si>
    <t xml:space="preserve">                                                                                                   PRODUCT BACKLOG </t>
  </si>
  <si>
    <t>Monthly Salary</t>
  </si>
  <si>
    <t>Annual Salary</t>
  </si>
  <si>
    <t>Percentage</t>
  </si>
  <si>
    <t>QA Analyst/Tester</t>
  </si>
  <si>
    <t xml:space="preserve">UI/UX Designer </t>
  </si>
  <si>
    <t>Total</t>
  </si>
  <si>
    <t>4 Month Salary</t>
  </si>
  <si>
    <t>Miscellaneous</t>
  </si>
  <si>
    <t>N/A</t>
  </si>
  <si>
    <t xml:space="preserve">                                                  Total Budget</t>
  </si>
  <si>
    <t>Developers, QA Analyst, Project Manager</t>
  </si>
  <si>
    <t>As  developer, I need proper user dashboard for easy access.</t>
  </si>
  <si>
    <t xml:space="preserve">	As a frontend developer, I need to design  API's for login purpose</t>
  </si>
  <si>
    <t>As a Business Analyst, I need the documentation of implemented features</t>
  </si>
  <si>
    <t>Prepare documentation for implemented features.</t>
  </si>
  <si>
    <t>Per Sprint  Salary</t>
  </si>
  <si>
    <t>Sprint 1 Budget</t>
  </si>
  <si>
    <t>Start integrating APIs for login and user data.</t>
  </si>
  <si>
    <t xml:space="preserve"> Develop user profile management and dashboard.</t>
  </si>
  <si>
    <t>Frontend: Designs UI for Register and Login Page                                               Backend: Implements Data processing and Login API.</t>
  </si>
  <si>
    <t xml:space="preserve">As an Admin I need User Authentication </t>
  </si>
  <si>
    <t>Sprint 2 Budget</t>
  </si>
  <si>
    <t>Frontend Developer, QA Analyst</t>
  </si>
  <si>
    <t>Build API's for for fetching search results and filtering data</t>
  </si>
  <si>
    <t>Finalizing API for beter perfomance</t>
  </si>
  <si>
    <t>Frontend, Backend Developer</t>
  </si>
  <si>
    <t>QA will check for accuracy through testing</t>
  </si>
  <si>
    <t>QA Analyst</t>
  </si>
  <si>
    <t>Validate search results and filter accuracy for rigorous testing</t>
  </si>
  <si>
    <t>Implement search functionality for travel packages and destinations.</t>
  </si>
  <si>
    <t>Add filters for price range, dates, and destinations.</t>
  </si>
  <si>
    <t>Monthly  Salary</t>
  </si>
  <si>
    <t xml:space="preserve">                                                                  Sprint 3 Budget</t>
  </si>
  <si>
    <t>Building API's for travel booking (Phase-I)</t>
  </si>
  <si>
    <t>Extending Database schema for bookings</t>
  </si>
  <si>
    <t xml:space="preserve"> Conducting research for payment gateway </t>
  </si>
  <si>
    <t>Validate research analysis and get feedback from QA</t>
  </si>
  <si>
    <t>As an User I need to make bookings</t>
  </si>
  <si>
    <t>Frontend Developer, UI/UX Designer, QA</t>
  </si>
  <si>
    <t>Users can search for travel bookings in the search bar</t>
  </si>
  <si>
    <t>As an User I need payment gateway to finalize my booking</t>
  </si>
  <si>
    <t>QA will check for final result after checking</t>
  </si>
  <si>
    <t>As an admin I need a secure payment gateway to confirm my transaction</t>
  </si>
  <si>
    <t>QA, BA, and Developers</t>
  </si>
  <si>
    <t>Integrate the selected payment gateway into the booking system</t>
  </si>
  <si>
    <t>User can safely do payment process in the payment gateway</t>
  </si>
  <si>
    <t>Develop and integrate the frontend payment flow</t>
  </si>
  <si>
    <t>Update bookings in the database for payment status</t>
  </si>
  <si>
    <t>As an admin, I want to see my booking status</t>
  </si>
  <si>
    <t xml:space="preserve">                                                                  Sprint 5 Budget</t>
  </si>
  <si>
    <t>Build booking history module and notification system</t>
  </si>
  <si>
    <t>As an User I need to manage all my booking history</t>
  </si>
  <si>
    <t>Project Manager, QA, and Developers</t>
  </si>
  <si>
    <t>Create Notifications for booking updates</t>
  </si>
  <si>
    <t>Frontend Developer, UI/UX Designer</t>
  </si>
  <si>
    <t>User needs to be Notified via push Sms/email for the booking updates</t>
  </si>
  <si>
    <t>Optimize API's for booking history and notifications</t>
  </si>
  <si>
    <t>As an admin, I need clean UI</t>
  </si>
  <si>
    <t>QA will check the UI and give feedback</t>
  </si>
  <si>
    <t>QA, Frontend Developer</t>
  </si>
  <si>
    <t xml:space="preserve">Enhanced Booking UI and send for testing to the QA </t>
  </si>
  <si>
    <t>Not Completed</t>
  </si>
  <si>
    <t>Optimize system performance and fix critical bugs</t>
  </si>
  <si>
    <t>As an User I need error free software</t>
  </si>
  <si>
    <t>Ensure application responsiveness across various device platforms</t>
  </si>
  <si>
    <t xml:space="preserve">As a User I need the software to run on all platforms </t>
  </si>
  <si>
    <t xml:space="preserve"> Developers, QA, BA</t>
  </si>
  <si>
    <t>Update technical and user documentation</t>
  </si>
  <si>
    <t>Frontend Developer, QA</t>
  </si>
  <si>
    <t xml:space="preserve">BA will check the technical documentation after finalizing </t>
  </si>
  <si>
    <t>BA, QA, Frontend Developer</t>
  </si>
  <si>
    <t>Preparing for Final launch</t>
  </si>
  <si>
    <t>QA will run some tests to ensure the software is perfoming well</t>
  </si>
  <si>
    <t>QA, Frontend, Backend</t>
  </si>
  <si>
    <t>Deployment of software in production environments</t>
  </si>
  <si>
    <t>QA will test the application post deployment</t>
  </si>
  <si>
    <t>Conducting User Acceptance Testing (UAT) for user feedback</t>
  </si>
  <si>
    <t>BA, Project Manager</t>
  </si>
  <si>
    <t>QA, Developers</t>
  </si>
  <si>
    <t>Resolve issues identified during UAT</t>
  </si>
  <si>
    <t>QA will give feedback post testing the software</t>
  </si>
  <si>
    <t>After verifying all the functionalities the final softwae is released</t>
  </si>
  <si>
    <t>User gets the software for working</t>
  </si>
  <si>
    <t>QA will test the product for any bugs, issues</t>
  </si>
  <si>
    <t xml:space="preserve">                  Sprint  6 Budget</t>
  </si>
  <si>
    <t xml:space="preserve">                  Sprint  8  Budget</t>
  </si>
  <si>
    <t xml:space="preserve">                  Sprint  7  Budget</t>
  </si>
  <si>
    <t xml:space="preserve">  Month 2- Sprint 3</t>
  </si>
  <si>
    <t xml:space="preserve">Month 1 Sprint 1 (2 Weeks) </t>
  </si>
  <si>
    <t>Sprint 4 (2 Weeks)</t>
  </si>
  <si>
    <t>Sprint 4 Budget</t>
  </si>
  <si>
    <t xml:space="preserve">  Month 3 Sprint 5</t>
  </si>
  <si>
    <t>Sprint 6 (2 Weeks)</t>
  </si>
  <si>
    <t xml:space="preserve">  Month 4 Sprint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</si>
</sst>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E88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11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5" borderId="0" xfId="0" applyFont="1" applyFill="1"/>
    <xf numFmtId="0" fontId="0" fillId="5" borderId="0" xfId="0" applyFill="1" applyAlignment="1">
      <alignment justifyLastLine="1"/>
    </xf>
    <xf numFmtId="0" fontId="0" fillId="5" borderId="0" xfId="0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9" fontId="9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9" fontId="10" fillId="3" borderId="1" xfId="0" applyNumberFormat="1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E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CF60B8-BB52-4B32-AA95-088C8DA873AA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YJP0JfwfNl73fBMotuVD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F32D-02D8-4474-B94F-E80AB239E974}">
  <sheetPr codeName="Sheet1"/>
  <dimension ref="A1:M54"/>
  <sheetViews>
    <sheetView topLeftCell="A57" zoomScale="70" zoomScaleNormal="70" workbookViewId="0">
      <selection activeCell="H66" sqref="H66"/>
    </sheetView>
  </sheetViews>
  <sheetFormatPr defaultRowHeight="15" x14ac:dyDescent="0.25"/>
  <cols>
    <col min="3" max="3" width="11.85546875" style="1" customWidth="1"/>
    <col min="4" max="4" width="37.28515625" customWidth="1"/>
    <col min="5" max="5" width="21.7109375" customWidth="1"/>
    <col min="6" max="6" width="27.7109375" customWidth="1"/>
    <col min="7" max="7" width="27.85546875" customWidth="1"/>
    <col min="8" max="8" width="27.7109375" customWidth="1"/>
  </cols>
  <sheetData>
    <row r="1" spans="1:13" ht="18.75" x14ac:dyDescent="0.3">
      <c r="A1" s="57" t="s">
        <v>77</v>
      </c>
      <c r="B1" s="58"/>
      <c r="C1" s="59"/>
      <c r="D1" s="59"/>
      <c r="E1" s="59"/>
      <c r="F1" s="59"/>
      <c r="G1" s="59"/>
      <c r="H1" s="59"/>
      <c r="I1" s="59"/>
      <c r="J1" s="59"/>
    </row>
    <row r="3" spans="1:13" x14ac:dyDescent="0.25">
      <c r="J3" s="13"/>
      <c r="K3" t="s">
        <v>11</v>
      </c>
      <c r="L3" s="14"/>
      <c r="M3" t="s">
        <v>26</v>
      </c>
    </row>
    <row r="4" spans="1:13" ht="31.5" x14ac:dyDescent="0.25">
      <c r="A4" s="5"/>
      <c r="B4" s="18" t="s">
        <v>5</v>
      </c>
      <c r="C4" s="18" t="s">
        <v>4</v>
      </c>
      <c r="D4" s="18" t="s">
        <v>6</v>
      </c>
      <c r="E4" s="18" t="s">
        <v>3</v>
      </c>
      <c r="F4" s="18" t="s">
        <v>2</v>
      </c>
      <c r="G4" s="18" t="s">
        <v>1</v>
      </c>
    </row>
    <row r="5" spans="1:13" x14ac:dyDescent="0.25">
      <c r="B5" s="3"/>
      <c r="C5" s="4"/>
      <c r="D5" s="3"/>
      <c r="E5" s="3"/>
      <c r="F5" s="3"/>
      <c r="G5" s="3"/>
    </row>
    <row r="6" spans="1:13" ht="46.5" customHeight="1" x14ac:dyDescent="0.25">
      <c r="B6" s="10">
        <v>1</v>
      </c>
      <c r="C6" s="7" t="s">
        <v>7</v>
      </c>
      <c r="D6" s="7" t="s">
        <v>8</v>
      </c>
      <c r="E6" s="9" t="s">
        <v>9</v>
      </c>
      <c r="F6" s="6" t="s">
        <v>10</v>
      </c>
      <c r="G6" s="13" t="s">
        <v>11</v>
      </c>
    </row>
    <row r="7" spans="1:13" x14ac:dyDescent="0.25">
      <c r="B7" s="10"/>
      <c r="C7" s="7"/>
      <c r="D7" s="9"/>
      <c r="E7" s="9"/>
      <c r="F7" s="10"/>
      <c r="G7" s="10"/>
    </row>
    <row r="8" spans="1:13" ht="36" customHeight="1" x14ac:dyDescent="0.25">
      <c r="B8" s="10">
        <v>1</v>
      </c>
      <c r="C8" s="7" t="s">
        <v>12</v>
      </c>
      <c r="D8" s="7" t="s">
        <v>13</v>
      </c>
      <c r="E8" s="7" t="s">
        <v>18</v>
      </c>
      <c r="F8" s="6" t="s">
        <v>14</v>
      </c>
      <c r="G8" s="14" t="s">
        <v>26</v>
      </c>
    </row>
    <row r="9" spans="1:13" x14ac:dyDescent="0.25">
      <c r="B9" s="10"/>
      <c r="C9" s="7"/>
      <c r="D9" s="9"/>
      <c r="E9" s="9"/>
      <c r="F9" s="10"/>
      <c r="G9" s="10"/>
    </row>
    <row r="10" spans="1:13" ht="45" x14ac:dyDescent="0.25">
      <c r="B10" s="10">
        <v>1</v>
      </c>
      <c r="C10" s="7" t="s">
        <v>15</v>
      </c>
      <c r="D10" s="9" t="s">
        <v>16</v>
      </c>
      <c r="E10" s="9" t="s">
        <v>17</v>
      </c>
      <c r="F10" s="6" t="s">
        <v>19</v>
      </c>
      <c r="G10" s="15" t="s">
        <v>11</v>
      </c>
    </row>
    <row r="11" spans="1:13" x14ac:dyDescent="0.25">
      <c r="B11" s="10"/>
      <c r="C11" s="7"/>
      <c r="D11" s="9"/>
      <c r="E11" s="9"/>
      <c r="F11" s="10"/>
      <c r="G11" s="10"/>
    </row>
    <row r="12" spans="1:13" ht="60" x14ac:dyDescent="0.25">
      <c r="B12" s="10">
        <v>2</v>
      </c>
      <c r="C12" s="7" t="s">
        <v>20</v>
      </c>
      <c r="D12" s="8" t="s">
        <v>25</v>
      </c>
      <c r="E12" s="9" t="s">
        <v>21</v>
      </c>
      <c r="F12" s="6" t="s">
        <v>22</v>
      </c>
      <c r="G12" s="15" t="s">
        <v>11</v>
      </c>
    </row>
    <row r="13" spans="1:13" x14ac:dyDescent="0.25">
      <c r="B13" s="10"/>
      <c r="C13" s="7"/>
      <c r="D13" s="8"/>
      <c r="E13" s="9"/>
      <c r="F13" s="10"/>
      <c r="G13" s="10"/>
    </row>
    <row r="14" spans="1:13" x14ac:dyDescent="0.25">
      <c r="B14" s="10">
        <v>2</v>
      </c>
      <c r="C14" s="7" t="s">
        <v>23</v>
      </c>
      <c r="D14" s="9" t="s">
        <v>24</v>
      </c>
      <c r="E14" s="9" t="s">
        <v>21</v>
      </c>
      <c r="F14" s="10" t="s">
        <v>32</v>
      </c>
      <c r="G14" s="15" t="s">
        <v>11</v>
      </c>
    </row>
    <row r="15" spans="1:13" x14ac:dyDescent="0.25">
      <c r="B15" s="10"/>
      <c r="C15" s="7"/>
      <c r="D15" s="9"/>
      <c r="E15" s="9"/>
      <c r="F15" s="10"/>
      <c r="G15" s="10"/>
      <c r="I15" s="10"/>
    </row>
    <row r="16" spans="1:13" x14ac:dyDescent="0.25">
      <c r="B16" s="10">
        <v>3</v>
      </c>
      <c r="C16" s="7" t="s">
        <v>28</v>
      </c>
      <c r="D16" s="9" t="s">
        <v>29</v>
      </c>
      <c r="E16" s="9" t="s">
        <v>30</v>
      </c>
      <c r="F16" s="10" t="s">
        <v>31</v>
      </c>
      <c r="G16" s="15" t="s">
        <v>11</v>
      </c>
    </row>
    <row r="17" spans="2:7" x14ac:dyDescent="0.25">
      <c r="B17" s="10"/>
      <c r="C17" s="7"/>
      <c r="D17" s="9"/>
      <c r="E17" s="9"/>
      <c r="F17" s="10"/>
      <c r="G17" s="10"/>
    </row>
    <row r="18" spans="2:7" ht="27" customHeight="1" x14ac:dyDescent="0.25">
      <c r="B18" s="10">
        <v>3</v>
      </c>
      <c r="C18" s="7" t="s">
        <v>33</v>
      </c>
      <c r="D18" s="8" t="s">
        <v>40</v>
      </c>
      <c r="E18" s="9" t="s">
        <v>30</v>
      </c>
      <c r="F18" s="11" t="s">
        <v>41</v>
      </c>
      <c r="G18" s="15" t="s">
        <v>42</v>
      </c>
    </row>
    <row r="19" spans="2:7" x14ac:dyDescent="0.25">
      <c r="B19" s="10"/>
      <c r="C19" s="7"/>
      <c r="D19" s="8"/>
      <c r="E19" s="9"/>
      <c r="F19" s="11"/>
      <c r="G19" s="10"/>
    </row>
    <row r="20" spans="2:7" ht="30" x14ac:dyDescent="0.25">
      <c r="B20" s="10">
        <v>4</v>
      </c>
      <c r="C20" s="7" t="s">
        <v>34</v>
      </c>
      <c r="D20" s="8" t="s">
        <v>43</v>
      </c>
      <c r="E20" s="9" t="s">
        <v>30</v>
      </c>
      <c r="F20" s="11" t="s">
        <v>44</v>
      </c>
      <c r="G20" s="15" t="s">
        <v>11</v>
      </c>
    </row>
    <row r="21" spans="2:7" x14ac:dyDescent="0.25">
      <c r="B21" s="10"/>
      <c r="C21" s="7"/>
      <c r="D21" s="8"/>
      <c r="E21" s="9"/>
      <c r="F21" s="11"/>
      <c r="G21" s="10"/>
    </row>
    <row r="22" spans="2:7" x14ac:dyDescent="0.25">
      <c r="B22" s="10">
        <v>4</v>
      </c>
      <c r="C22" s="7" t="s">
        <v>35</v>
      </c>
      <c r="D22" s="8" t="s">
        <v>45</v>
      </c>
      <c r="E22" s="9" t="s">
        <v>46</v>
      </c>
      <c r="F22" s="11" t="s">
        <v>47</v>
      </c>
      <c r="G22" s="15" t="s">
        <v>11</v>
      </c>
    </row>
    <row r="23" spans="2:7" x14ac:dyDescent="0.25">
      <c r="B23" s="10"/>
      <c r="C23" s="7"/>
      <c r="D23" s="8"/>
      <c r="E23" s="9"/>
      <c r="F23" s="11"/>
      <c r="G23" s="10"/>
    </row>
    <row r="24" spans="2:7" ht="30" x14ac:dyDescent="0.25">
      <c r="B24" s="10">
        <v>5</v>
      </c>
      <c r="C24" s="7" t="s">
        <v>36</v>
      </c>
      <c r="D24" s="8" t="s">
        <v>48</v>
      </c>
      <c r="E24" s="9" t="s">
        <v>30</v>
      </c>
      <c r="F24" s="11" t="s">
        <v>49</v>
      </c>
      <c r="G24" s="15" t="s">
        <v>11</v>
      </c>
    </row>
    <row r="25" spans="2:7" x14ac:dyDescent="0.25">
      <c r="B25" s="10"/>
      <c r="C25" s="7"/>
      <c r="D25" s="8"/>
      <c r="E25" s="9"/>
      <c r="F25" s="11"/>
      <c r="G25" s="10"/>
    </row>
    <row r="26" spans="2:7" ht="30" x14ac:dyDescent="0.25">
      <c r="B26" s="10">
        <v>6</v>
      </c>
      <c r="C26" s="7" t="s">
        <v>37</v>
      </c>
      <c r="D26" s="8" t="s">
        <v>50</v>
      </c>
      <c r="E26" s="9" t="s">
        <v>30</v>
      </c>
      <c r="F26" s="11" t="s">
        <v>51</v>
      </c>
      <c r="G26" s="16" t="s">
        <v>26</v>
      </c>
    </row>
    <row r="27" spans="2:7" x14ac:dyDescent="0.25">
      <c r="B27" s="10"/>
      <c r="C27" s="7"/>
      <c r="D27" s="8"/>
      <c r="E27" s="9"/>
      <c r="F27" s="11"/>
      <c r="G27" s="10"/>
    </row>
    <row r="28" spans="2:7" ht="27" customHeight="1" x14ac:dyDescent="0.25">
      <c r="B28" s="10">
        <v>6</v>
      </c>
      <c r="C28" s="7" t="s">
        <v>38</v>
      </c>
      <c r="D28" s="8" t="s">
        <v>54</v>
      </c>
      <c r="E28" s="9" t="s">
        <v>30</v>
      </c>
      <c r="F28" s="11" t="s">
        <v>55</v>
      </c>
      <c r="G28" s="16" t="s">
        <v>26</v>
      </c>
    </row>
    <row r="29" spans="2:7" ht="15" customHeight="1" x14ac:dyDescent="0.25">
      <c r="B29" s="10"/>
      <c r="C29" s="7"/>
      <c r="D29" s="8"/>
      <c r="E29" s="9"/>
      <c r="F29" s="11"/>
      <c r="G29" s="10"/>
    </row>
    <row r="30" spans="2:7" ht="30" x14ac:dyDescent="0.25">
      <c r="B30" s="10">
        <v>7</v>
      </c>
      <c r="C30" s="7" t="s">
        <v>39</v>
      </c>
      <c r="D30" s="8" t="s">
        <v>56</v>
      </c>
      <c r="E30" s="8" t="s">
        <v>57</v>
      </c>
      <c r="F30" s="11" t="s">
        <v>52</v>
      </c>
      <c r="G30" s="16" t="s">
        <v>26</v>
      </c>
    </row>
    <row r="31" spans="2:7" x14ac:dyDescent="0.25">
      <c r="B31" s="10"/>
      <c r="C31" s="7"/>
      <c r="D31" s="8"/>
      <c r="E31" s="8"/>
      <c r="F31" s="11"/>
      <c r="G31" s="10"/>
    </row>
    <row r="32" spans="2:7" ht="30" x14ac:dyDescent="0.25">
      <c r="B32" s="10">
        <v>7</v>
      </c>
      <c r="C32" s="7" t="s">
        <v>53</v>
      </c>
      <c r="D32" s="8" t="s">
        <v>58</v>
      </c>
      <c r="E32" s="8" t="s">
        <v>59</v>
      </c>
      <c r="F32" s="11" t="s">
        <v>60</v>
      </c>
      <c r="G32" s="16" t="s">
        <v>26</v>
      </c>
    </row>
    <row r="33" spans="2:8" x14ac:dyDescent="0.25">
      <c r="B33" s="10"/>
      <c r="C33" s="7"/>
      <c r="D33" s="8"/>
      <c r="E33" s="8"/>
      <c r="F33" s="10"/>
      <c r="G33" s="10"/>
    </row>
    <row r="34" spans="2:8" ht="45" x14ac:dyDescent="0.25">
      <c r="B34" s="10">
        <v>8</v>
      </c>
      <c r="C34" s="7" t="s">
        <v>61</v>
      </c>
      <c r="D34" s="8" t="s">
        <v>62</v>
      </c>
      <c r="E34" s="9" t="s">
        <v>30</v>
      </c>
      <c r="F34" s="6" t="s">
        <v>63</v>
      </c>
      <c r="G34" s="15" t="s">
        <v>11</v>
      </c>
    </row>
    <row r="35" spans="2:8" x14ac:dyDescent="0.25">
      <c r="B35" s="10"/>
      <c r="C35" s="7"/>
      <c r="D35" s="8"/>
      <c r="E35" s="9"/>
      <c r="F35" s="10"/>
      <c r="G35" s="10"/>
    </row>
    <row r="36" spans="2:8" ht="30" x14ac:dyDescent="0.25">
      <c r="B36" s="10">
        <v>8</v>
      </c>
      <c r="C36" s="7" t="s">
        <v>64</v>
      </c>
      <c r="D36" s="8" t="s">
        <v>65</v>
      </c>
      <c r="E36" s="9" t="s">
        <v>66</v>
      </c>
      <c r="F36" s="11" t="s">
        <v>67</v>
      </c>
      <c r="G36" s="16" t="s">
        <v>26</v>
      </c>
    </row>
    <row r="37" spans="2:8" x14ac:dyDescent="0.25">
      <c r="D37" s="2"/>
      <c r="F37" s="12"/>
    </row>
    <row r="41" spans="2:8" ht="24" x14ac:dyDescent="0.4">
      <c r="D41" s="60" t="s">
        <v>87</v>
      </c>
      <c r="E41" s="61"/>
      <c r="F41" s="61"/>
    </row>
    <row r="44" spans="2:8" ht="15.75" x14ac:dyDescent="0.25">
      <c r="D44" s="22" t="s">
        <v>71</v>
      </c>
      <c r="E44" s="22" t="s">
        <v>80</v>
      </c>
      <c r="F44" s="22" t="s">
        <v>78</v>
      </c>
      <c r="G44" s="22" t="s">
        <v>84</v>
      </c>
      <c r="H44" s="22" t="s">
        <v>79</v>
      </c>
    </row>
    <row r="45" spans="2:8" ht="15" customHeight="1" x14ac:dyDescent="0.25">
      <c r="D45" s="20"/>
      <c r="E45" s="21"/>
      <c r="F45" s="21"/>
      <c r="G45" s="21"/>
      <c r="H45" s="21"/>
    </row>
    <row r="46" spans="2:8" ht="18.75" customHeight="1" x14ac:dyDescent="0.3">
      <c r="D46" s="28" t="s">
        <v>18</v>
      </c>
      <c r="E46" s="69">
        <v>0.15</v>
      </c>
      <c r="F46" s="70">
        <v>90000</v>
      </c>
      <c r="G46" s="70">
        <v>320000</v>
      </c>
      <c r="H46" s="70">
        <v>1080000</v>
      </c>
    </row>
    <row r="47" spans="2:8" ht="18.75" customHeight="1" x14ac:dyDescent="0.3">
      <c r="D47" s="28" t="s">
        <v>72</v>
      </c>
      <c r="E47" s="69">
        <v>0.1</v>
      </c>
      <c r="F47" s="70">
        <v>60000</v>
      </c>
      <c r="G47" s="70">
        <v>240000</v>
      </c>
      <c r="H47" s="70">
        <v>720000</v>
      </c>
    </row>
    <row r="48" spans="2:8" ht="18.75" customHeight="1" x14ac:dyDescent="0.3">
      <c r="D48" s="28" t="s">
        <v>73</v>
      </c>
      <c r="E48" s="69">
        <v>0.1</v>
      </c>
      <c r="F48" s="70">
        <v>60000</v>
      </c>
      <c r="G48" s="70">
        <v>240000</v>
      </c>
      <c r="H48" s="70">
        <v>720000</v>
      </c>
    </row>
    <row r="49" spans="4:8" ht="18.75" customHeight="1" x14ac:dyDescent="0.3">
      <c r="D49" s="28" t="s">
        <v>82</v>
      </c>
      <c r="E49" s="69">
        <v>0.1</v>
      </c>
      <c r="F49" s="70">
        <v>60000</v>
      </c>
      <c r="G49" s="70">
        <v>240000</v>
      </c>
      <c r="H49" s="70">
        <v>720000</v>
      </c>
    </row>
    <row r="50" spans="4:8" ht="18.75" customHeight="1" x14ac:dyDescent="0.3">
      <c r="D50" s="28" t="s">
        <v>81</v>
      </c>
      <c r="E50" s="69">
        <v>0.15</v>
      </c>
      <c r="F50" s="70">
        <v>90000</v>
      </c>
      <c r="G50" s="70">
        <v>360000</v>
      </c>
      <c r="H50" s="70">
        <v>1080000</v>
      </c>
    </row>
    <row r="51" spans="4:8" ht="18.75" customHeight="1" x14ac:dyDescent="0.3">
      <c r="D51" s="28" t="s">
        <v>9</v>
      </c>
      <c r="E51" s="69">
        <v>0.25</v>
      </c>
      <c r="F51" s="70">
        <v>150000</v>
      </c>
      <c r="G51" s="70">
        <v>600000</v>
      </c>
      <c r="H51" s="70">
        <v>1800000</v>
      </c>
    </row>
    <row r="52" spans="4:8" ht="18.75" customHeight="1" x14ac:dyDescent="0.3">
      <c r="D52" s="28" t="s">
        <v>74</v>
      </c>
      <c r="E52" s="69">
        <v>0.15</v>
      </c>
      <c r="F52" s="70">
        <v>90000</v>
      </c>
      <c r="G52" s="70">
        <v>360000</v>
      </c>
      <c r="H52" s="70">
        <v>1080000</v>
      </c>
    </row>
    <row r="53" spans="4:8" ht="18.75" customHeight="1" x14ac:dyDescent="0.3">
      <c r="D53" s="28" t="s">
        <v>85</v>
      </c>
      <c r="E53" s="29" t="s">
        <v>86</v>
      </c>
      <c r="F53" s="70">
        <v>25000</v>
      </c>
      <c r="G53" s="70">
        <v>100000</v>
      </c>
      <c r="H53" s="29" t="s">
        <v>86</v>
      </c>
    </row>
    <row r="54" spans="4:8" ht="33.75" customHeight="1" x14ac:dyDescent="0.3">
      <c r="D54" s="28" t="s">
        <v>83</v>
      </c>
      <c r="E54" s="71">
        <v>1</v>
      </c>
      <c r="F54" s="72">
        <v>625000</v>
      </c>
      <c r="G54" s="72">
        <v>2500000</v>
      </c>
      <c r="H54" s="72">
        <v>7200000</v>
      </c>
    </row>
  </sheetData>
  <mergeCells count="2">
    <mergeCell ref="A1:J1"/>
    <mergeCell ref="D41:F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6732-5E4F-4FDF-A906-EEE6B26D648E}">
  <sheetPr codeName="Sheet2"/>
  <dimension ref="A2:M38"/>
  <sheetViews>
    <sheetView topLeftCell="A11" zoomScale="60" zoomScaleNormal="60" workbookViewId="0">
      <selection activeCell="N9" sqref="N9"/>
    </sheetView>
  </sheetViews>
  <sheetFormatPr defaultRowHeight="15" x14ac:dyDescent="0.25"/>
  <cols>
    <col min="2" max="2" width="7.42578125" customWidth="1"/>
    <col min="3" max="3" width="8.28515625" customWidth="1"/>
    <col min="4" max="4" width="30.85546875" customWidth="1"/>
    <col min="5" max="5" width="39.28515625" customWidth="1"/>
    <col min="6" max="6" width="22.5703125" customWidth="1"/>
    <col min="7" max="7" width="31.7109375" bestFit="1" customWidth="1"/>
    <col min="8" max="8" width="19.42578125" customWidth="1"/>
    <col min="9" max="9" width="16.5703125" customWidth="1"/>
  </cols>
  <sheetData>
    <row r="2" spans="1:13" ht="18.75" x14ac:dyDescent="0.3">
      <c r="A2" s="62" t="s">
        <v>166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4" spans="1:13" x14ac:dyDescent="0.25">
      <c r="C4" s="17"/>
      <c r="D4" s="17"/>
      <c r="E4" s="17"/>
      <c r="F4" s="17"/>
      <c r="G4" s="17"/>
      <c r="H4" s="17"/>
      <c r="I4" s="17"/>
    </row>
    <row r="5" spans="1:13" ht="37.5" x14ac:dyDescent="0.3">
      <c r="C5" s="23" t="s">
        <v>68</v>
      </c>
      <c r="D5" s="23" t="s">
        <v>4</v>
      </c>
      <c r="E5" s="23" t="s">
        <v>6</v>
      </c>
      <c r="F5" s="23" t="s">
        <v>3</v>
      </c>
      <c r="G5" s="23" t="s">
        <v>2</v>
      </c>
      <c r="H5" s="23" t="s">
        <v>1</v>
      </c>
      <c r="I5" s="23" t="s">
        <v>0</v>
      </c>
    </row>
    <row r="6" spans="1:13" ht="18.75" x14ac:dyDescent="0.3">
      <c r="C6" s="24"/>
      <c r="D6" s="24"/>
      <c r="E6" s="24"/>
      <c r="F6" s="24"/>
      <c r="G6" s="24"/>
      <c r="H6" s="24"/>
      <c r="I6" s="24"/>
    </row>
    <row r="7" spans="1:13" ht="80.25" customHeight="1" x14ac:dyDescent="0.3">
      <c r="C7" s="25">
        <v>1</v>
      </c>
      <c r="D7" s="44" t="s">
        <v>7</v>
      </c>
      <c r="E7" s="44" t="s">
        <v>69</v>
      </c>
      <c r="F7" s="44" t="s">
        <v>70</v>
      </c>
      <c r="G7" s="44" t="s">
        <v>10</v>
      </c>
      <c r="H7" s="45" t="s">
        <v>11</v>
      </c>
      <c r="I7" s="46" t="s">
        <v>27</v>
      </c>
    </row>
    <row r="8" spans="1:13" ht="18.75" x14ac:dyDescent="0.3">
      <c r="C8" s="25"/>
      <c r="D8" s="44"/>
      <c r="E8" s="44"/>
      <c r="F8" s="44"/>
      <c r="G8" s="44"/>
      <c r="H8" s="44"/>
      <c r="I8" s="44"/>
    </row>
    <row r="9" spans="1:13" ht="79.5" customHeight="1" x14ac:dyDescent="0.3">
      <c r="C9" s="25">
        <v>2</v>
      </c>
      <c r="D9" s="44" t="s">
        <v>12</v>
      </c>
      <c r="E9" s="44" t="s">
        <v>13</v>
      </c>
      <c r="F9" s="44" t="s">
        <v>18</v>
      </c>
      <c r="G9" s="44" t="s">
        <v>14</v>
      </c>
      <c r="H9" s="47" t="s">
        <v>26</v>
      </c>
      <c r="I9" s="46" t="s">
        <v>27</v>
      </c>
    </row>
    <row r="10" spans="1:13" ht="5.25" customHeight="1" x14ac:dyDescent="0.3">
      <c r="C10" s="25"/>
      <c r="D10" s="44"/>
      <c r="E10" s="44"/>
      <c r="F10" s="44"/>
      <c r="G10" s="44"/>
      <c r="H10" s="44"/>
      <c r="I10" s="44"/>
    </row>
    <row r="11" spans="1:13" ht="89.25" customHeight="1" x14ac:dyDescent="0.3">
      <c r="C11" s="25">
        <v>3</v>
      </c>
      <c r="D11" s="44" t="s">
        <v>15</v>
      </c>
      <c r="E11" s="44" t="s">
        <v>16</v>
      </c>
      <c r="F11" s="44" t="s">
        <v>17</v>
      </c>
      <c r="G11" s="44" t="s">
        <v>19</v>
      </c>
      <c r="H11" s="45" t="s">
        <v>11</v>
      </c>
      <c r="I11" s="46" t="s">
        <v>27</v>
      </c>
    </row>
    <row r="12" spans="1:13" ht="15" customHeight="1" x14ac:dyDescent="0.3">
      <c r="C12" s="25"/>
      <c r="D12" s="30"/>
      <c r="E12" s="30"/>
      <c r="F12" s="30"/>
      <c r="G12" s="30"/>
      <c r="H12" s="30"/>
      <c r="I12" s="30"/>
    </row>
    <row r="13" spans="1:13" ht="96.75" customHeight="1" x14ac:dyDescent="0.3">
      <c r="C13" s="25">
        <v>4</v>
      </c>
      <c r="D13" s="30" t="s">
        <v>20</v>
      </c>
      <c r="E13" s="30" t="s">
        <v>98</v>
      </c>
      <c r="F13" s="30" t="s">
        <v>21</v>
      </c>
      <c r="G13" s="30" t="s">
        <v>22</v>
      </c>
      <c r="H13" s="48" t="s">
        <v>11</v>
      </c>
      <c r="I13" s="49" t="s">
        <v>27</v>
      </c>
    </row>
    <row r="14" spans="1:13" x14ac:dyDescent="0.25">
      <c r="C14" s="1"/>
      <c r="D14" s="1"/>
      <c r="E14" s="1"/>
      <c r="F14" s="1"/>
      <c r="G14" s="1"/>
      <c r="H14" s="1"/>
      <c r="I14" s="1"/>
    </row>
    <row r="15" spans="1:13" x14ac:dyDescent="0.25">
      <c r="C15" s="1"/>
      <c r="D15" s="1"/>
      <c r="E15" s="1"/>
      <c r="F15" s="1"/>
      <c r="G15" s="1"/>
      <c r="H15" s="1"/>
      <c r="I15" s="1"/>
    </row>
    <row r="16" spans="1:13" x14ac:dyDescent="0.25">
      <c r="C16" s="1"/>
      <c r="D16" s="1"/>
      <c r="E16" s="1"/>
      <c r="F16" s="1"/>
      <c r="G16" s="1"/>
      <c r="H16" s="1"/>
      <c r="I16" s="1"/>
    </row>
    <row r="17" spans="3:9" x14ac:dyDescent="0.25">
      <c r="C17" s="1"/>
      <c r="D17" s="1"/>
      <c r="E17" s="1"/>
      <c r="F17" s="1"/>
      <c r="G17" s="1"/>
      <c r="H17" s="1"/>
      <c r="I17" s="1"/>
    </row>
    <row r="18" spans="3:9" ht="18.75" x14ac:dyDescent="0.3">
      <c r="C18" s="1"/>
      <c r="D18" s="64" t="s">
        <v>94</v>
      </c>
      <c r="E18" s="64"/>
      <c r="F18" s="64"/>
      <c r="G18" s="64"/>
      <c r="H18" s="64"/>
      <c r="I18" s="1"/>
    </row>
    <row r="19" spans="3:9" x14ac:dyDescent="0.25">
      <c r="C19" s="1"/>
      <c r="D19" s="1"/>
      <c r="E19" s="1"/>
      <c r="F19" s="1"/>
      <c r="G19" s="1"/>
      <c r="H19" s="1"/>
      <c r="I19" s="1"/>
    </row>
    <row r="20" spans="3:9" ht="18.75" x14ac:dyDescent="0.3">
      <c r="C20" s="1"/>
      <c r="D20" s="37" t="s">
        <v>71</v>
      </c>
      <c r="E20" s="37" t="s">
        <v>93</v>
      </c>
      <c r="F20" s="37" t="s">
        <v>84</v>
      </c>
      <c r="G20" s="37" t="s">
        <v>79</v>
      </c>
    </row>
    <row r="21" spans="3:9" ht="18.75" x14ac:dyDescent="0.3">
      <c r="C21" s="1"/>
      <c r="D21" s="28"/>
      <c r="E21" s="29"/>
      <c r="F21" s="29"/>
      <c r="G21" s="29"/>
    </row>
    <row r="22" spans="3:9" ht="18.75" x14ac:dyDescent="0.3">
      <c r="C22" s="1"/>
      <c r="D22" s="30" t="s">
        <v>18</v>
      </c>
      <c r="E22" s="32">
        <v>22500</v>
      </c>
      <c r="F22" s="32">
        <v>320000</v>
      </c>
      <c r="G22" s="32">
        <v>1080000</v>
      </c>
    </row>
    <row r="23" spans="3:9" ht="18" customHeight="1" x14ac:dyDescent="0.3">
      <c r="C23" s="1"/>
      <c r="D23" s="30" t="s">
        <v>72</v>
      </c>
      <c r="E23" s="32">
        <v>15000</v>
      </c>
      <c r="F23" s="32">
        <v>240000</v>
      </c>
      <c r="G23" s="32">
        <v>720000</v>
      </c>
    </row>
    <row r="24" spans="3:9" ht="18" customHeight="1" x14ac:dyDescent="0.3">
      <c r="C24" s="1"/>
      <c r="D24" s="30" t="s">
        <v>73</v>
      </c>
      <c r="E24" s="32">
        <v>15000</v>
      </c>
      <c r="F24" s="32">
        <v>240000</v>
      </c>
      <c r="G24" s="32">
        <v>720000</v>
      </c>
    </row>
    <row r="25" spans="3:9" ht="18" customHeight="1" x14ac:dyDescent="0.3">
      <c r="C25" s="1"/>
      <c r="D25" s="30" t="s">
        <v>82</v>
      </c>
      <c r="E25" s="32">
        <v>30000</v>
      </c>
      <c r="F25" s="32">
        <v>240000</v>
      </c>
      <c r="G25" s="32">
        <v>720000</v>
      </c>
    </row>
    <row r="26" spans="3:9" ht="18" customHeight="1" x14ac:dyDescent="0.3">
      <c r="C26" s="1"/>
      <c r="D26" s="30" t="s">
        <v>81</v>
      </c>
      <c r="E26" s="32">
        <v>22500</v>
      </c>
      <c r="F26" s="32">
        <v>360000</v>
      </c>
      <c r="G26" s="32">
        <v>1080000</v>
      </c>
    </row>
    <row r="27" spans="3:9" ht="18" customHeight="1" x14ac:dyDescent="0.3">
      <c r="C27" s="1"/>
      <c r="D27" s="30" t="s">
        <v>9</v>
      </c>
      <c r="E27" s="32">
        <v>37500</v>
      </c>
      <c r="F27" s="32">
        <v>600000</v>
      </c>
      <c r="G27" s="32">
        <v>1800000</v>
      </c>
    </row>
    <row r="28" spans="3:9" ht="18" customHeight="1" x14ac:dyDescent="0.3">
      <c r="C28" s="1"/>
      <c r="D28" s="30" t="s">
        <v>74</v>
      </c>
      <c r="E28" s="32">
        <v>22500</v>
      </c>
      <c r="F28" s="32">
        <v>360000</v>
      </c>
      <c r="G28" s="32">
        <v>1080000</v>
      </c>
    </row>
    <row r="29" spans="3:9" ht="18" customHeight="1" x14ac:dyDescent="0.3">
      <c r="C29" s="1"/>
      <c r="D29" s="35" t="s">
        <v>83</v>
      </c>
      <c r="E29" s="36">
        <f>SUM(E22:E28)</f>
        <v>165000</v>
      </c>
      <c r="F29" s="36">
        <f t="shared" ref="F29:G29" si="0">SUM(F22:F28)</f>
        <v>2360000</v>
      </c>
      <c r="G29" s="36">
        <f t="shared" si="0"/>
        <v>7200000</v>
      </c>
    </row>
    <row r="30" spans="3:9" x14ac:dyDescent="0.25">
      <c r="C30" s="1"/>
      <c r="D30" s="1"/>
      <c r="E30" s="1"/>
      <c r="F30" s="1"/>
      <c r="G30" s="1"/>
      <c r="H30" s="1"/>
      <c r="I30" s="1"/>
    </row>
    <row r="31" spans="3:9" x14ac:dyDescent="0.25">
      <c r="C31" s="1"/>
      <c r="D31" s="1"/>
      <c r="E31" s="1"/>
      <c r="F31" s="1"/>
      <c r="G31" s="1"/>
      <c r="H31" s="1"/>
      <c r="I31" s="1"/>
    </row>
    <row r="32" spans="3:9" x14ac:dyDescent="0.25">
      <c r="C32" s="1"/>
      <c r="D32" s="1"/>
      <c r="E32" s="1"/>
      <c r="F32" s="1"/>
      <c r="G32" s="1"/>
      <c r="H32" s="1"/>
      <c r="I32" s="1"/>
    </row>
    <row r="33" spans="3:9" x14ac:dyDescent="0.25">
      <c r="C33" s="1"/>
      <c r="D33" s="1"/>
      <c r="E33" s="1"/>
      <c r="F33" s="1"/>
      <c r="G33" s="1"/>
      <c r="H33" s="1"/>
      <c r="I33" s="1"/>
    </row>
    <row r="34" spans="3:9" x14ac:dyDescent="0.25">
      <c r="C34" s="1"/>
      <c r="D34" s="1"/>
      <c r="E34" s="1"/>
      <c r="F34" s="1"/>
      <c r="G34" s="1"/>
      <c r="H34" s="1"/>
      <c r="I34" s="1"/>
    </row>
    <row r="35" spans="3:9" x14ac:dyDescent="0.25">
      <c r="C35" s="1"/>
      <c r="D35" s="1"/>
      <c r="E35" s="1"/>
      <c r="F35" s="1"/>
      <c r="G35" s="1"/>
      <c r="H35" s="1"/>
      <c r="I35" s="1"/>
    </row>
    <row r="36" spans="3:9" x14ac:dyDescent="0.25">
      <c r="C36" s="1"/>
      <c r="D36" s="1"/>
      <c r="E36" s="1"/>
      <c r="F36" s="1"/>
      <c r="G36" s="1"/>
      <c r="H36" s="1"/>
      <c r="I36" s="1"/>
    </row>
    <row r="37" spans="3:9" x14ac:dyDescent="0.25">
      <c r="C37" s="1"/>
      <c r="D37" s="1"/>
      <c r="E37" s="1"/>
      <c r="F37" s="1"/>
      <c r="G37" s="1"/>
      <c r="H37" s="1"/>
      <c r="I37" s="1"/>
    </row>
    <row r="38" spans="3:9" x14ac:dyDescent="0.25">
      <c r="C38" s="1"/>
      <c r="D38" s="1"/>
      <c r="F38" s="1"/>
      <c r="G38" s="1"/>
      <c r="H38" s="1"/>
      <c r="I38" s="1"/>
    </row>
  </sheetData>
  <mergeCells count="2">
    <mergeCell ref="A2:M2"/>
    <mergeCell ref="D18:H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0EF2-F5A0-4581-B375-1BEA42154251}">
  <sheetPr codeName="Sheet3"/>
  <dimension ref="B1:H29"/>
  <sheetViews>
    <sheetView zoomScale="60" zoomScaleNormal="60" workbookViewId="0">
      <selection activeCell="B1" sqref="B1:H1"/>
    </sheetView>
  </sheetViews>
  <sheetFormatPr defaultRowHeight="15" x14ac:dyDescent="0.25"/>
  <cols>
    <col min="2" max="2" width="10.7109375" customWidth="1"/>
    <col min="3" max="3" width="31.85546875" customWidth="1"/>
    <col min="4" max="4" width="25.7109375" customWidth="1"/>
    <col min="5" max="5" width="23.7109375" customWidth="1"/>
    <col min="6" max="6" width="30.7109375" customWidth="1"/>
    <col min="7" max="7" width="13.42578125" customWidth="1"/>
    <col min="8" max="8" width="17.85546875" customWidth="1"/>
  </cols>
  <sheetData>
    <row r="1" spans="2:8" ht="18.75" x14ac:dyDescent="0.3">
      <c r="B1" s="62" t="s">
        <v>75</v>
      </c>
      <c r="C1" s="63"/>
      <c r="D1" s="63"/>
      <c r="E1" s="63"/>
      <c r="F1" s="63"/>
      <c r="G1" s="63"/>
      <c r="H1" s="63"/>
    </row>
    <row r="4" spans="2:8" ht="31.5" x14ac:dyDescent="0.25">
      <c r="C4" s="19" t="s">
        <v>4</v>
      </c>
      <c r="D4" s="19" t="s">
        <v>6</v>
      </c>
      <c r="E4" s="19" t="s">
        <v>3</v>
      </c>
      <c r="F4" s="19" t="s">
        <v>2</v>
      </c>
      <c r="G4" s="19" t="s">
        <v>1</v>
      </c>
      <c r="H4" s="19" t="s">
        <v>0</v>
      </c>
    </row>
    <row r="5" spans="2:8" x14ac:dyDescent="0.25">
      <c r="C5" s="6"/>
      <c r="D5" s="6"/>
      <c r="E5" s="6"/>
      <c r="F5" s="6"/>
      <c r="G5" s="6"/>
      <c r="H5" s="6"/>
    </row>
    <row r="6" spans="2:8" ht="60" customHeight="1" x14ac:dyDescent="0.25">
      <c r="C6" s="44" t="s">
        <v>7</v>
      </c>
      <c r="D6" s="44" t="s">
        <v>89</v>
      </c>
      <c r="E6" s="44" t="s">
        <v>88</v>
      </c>
      <c r="F6" s="44" t="s">
        <v>96</v>
      </c>
      <c r="G6" s="45" t="s">
        <v>11</v>
      </c>
      <c r="H6" s="50" t="s">
        <v>27</v>
      </c>
    </row>
    <row r="7" spans="2:8" ht="18.75" x14ac:dyDescent="0.25">
      <c r="C7" s="44"/>
      <c r="D7" s="44"/>
      <c r="E7" s="44"/>
      <c r="F7" s="44"/>
      <c r="G7" s="44"/>
      <c r="H7" s="44"/>
    </row>
    <row r="8" spans="2:8" ht="60" customHeight="1" x14ac:dyDescent="0.25">
      <c r="C8" s="44" t="s">
        <v>12</v>
      </c>
      <c r="D8" s="44" t="s">
        <v>90</v>
      </c>
      <c r="E8" s="44" t="s">
        <v>18</v>
      </c>
      <c r="F8" s="44" t="s">
        <v>95</v>
      </c>
      <c r="G8" s="47" t="s">
        <v>26</v>
      </c>
      <c r="H8" s="50" t="s">
        <v>27</v>
      </c>
    </row>
    <row r="9" spans="2:8" ht="18.75" x14ac:dyDescent="0.25">
      <c r="C9" s="44"/>
      <c r="D9" s="44"/>
      <c r="E9" s="44"/>
      <c r="F9" s="44"/>
      <c r="G9" s="44"/>
      <c r="H9" s="44"/>
    </row>
    <row r="10" spans="2:8" ht="61.5" customHeight="1" x14ac:dyDescent="0.25">
      <c r="C10" s="44" t="s">
        <v>15</v>
      </c>
      <c r="D10" s="44" t="s">
        <v>91</v>
      </c>
      <c r="E10" s="44" t="s">
        <v>74</v>
      </c>
      <c r="F10" s="44" t="s">
        <v>92</v>
      </c>
      <c r="G10" s="45" t="s">
        <v>11</v>
      </c>
      <c r="H10" s="50" t="s">
        <v>27</v>
      </c>
    </row>
    <row r="11" spans="2:8" ht="18.75" x14ac:dyDescent="0.25">
      <c r="C11" s="44"/>
      <c r="D11" s="44"/>
      <c r="E11" s="44"/>
      <c r="F11" s="44"/>
      <c r="G11" s="44"/>
      <c r="H11" s="44"/>
    </row>
    <row r="12" spans="2:8" ht="63" customHeight="1" x14ac:dyDescent="0.25">
      <c r="C12" s="44" t="s">
        <v>20</v>
      </c>
      <c r="D12" s="44" t="s">
        <v>25</v>
      </c>
      <c r="E12" s="44" t="s">
        <v>21</v>
      </c>
      <c r="F12" s="44" t="s">
        <v>97</v>
      </c>
      <c r="G12" s="45" t="s">
        <v>11</v>
      </c>
      <c r="H12" s="50" t="s">
        <v>27</v>
      </c>
    </row>
    <row r="18" spans="3:6" ht="18.75" x14ac:dyDescent="0.3">
      <c r="C18" s="65" t="s">
        <v>99</v>
      </c>
      <c r="D18" s="66"/>
      <c r="E18" s="66"/>
      <c r="F18" s="66"/>
    </row>
    <row r="20" spans="3:6" ht="18.75" x14ac:dyDescent="0.3">
      <c r="C20" s="27" t="s">
        <v>71</v>
      </c>
      <c r="D20" s="37" t="s">
        <v>93</v>
      </c>
      <c r="E20" s="37" t="s">
        <v>84</v>
      </c>
      <c r="F20" s="37" t="s">
        <v>79</v>
      </c>
    </row>
    <row r="21" spans="3:6" ht="18.75" x14ac:dyDescent="0.3">
      <c r="C21" s="28"/>
      <c r="D21" s="29"/>
      <c r="E21" s="29"/>
      <c r="F21" s="29"/>
    </row>
    <row r="22" spans="3:6" ht="18" customHeight="1" x14ac:dyDescent="0.3">
      <c r="C22" s="30" t="s">
        <v>18</v>
      </c>
      <c r="D22" s="31">
        <v>22500</v>
      </c>
      <c r="E22" s="31">
        <v>320000</v>
      </c>
      <c r="F22" s="31">
        <v>1080000</v>
      </c>
    </row>
    <row r="23" spans="3:6" ht="18" customHeight="1" x14ac:dyDescent="0.3">
      <c r="C23" s="30" t="s">
        <v>72</v>
      </c>
      <c r="D23" s="31">
        <v>15000</v>
      </c>
      <c r="E23" s="31">
        <v>240000</v>
      </c>
      <c r="F23" s="31">
        <v>720000</v>
      </c>
    </row>
    <row r="24" spans="3:6" ht="18" customHeight="1" x14ac:dyDescent="0.3">
      <c r="C24" s="30" t="s">
        <v>73</v>
      </c>
      <c r="D24" s="31">
        <v>15000</v>
      </c>
      <c r="E24" s="31">
        <v>240000</v>
      </c>
      <c r="F24" s="31">
        <v>720000</v>
      </c>
    </row>
    <row r="25" spans="3:6" ht="18" customHeight="1" x14ac:dyDescent="0.3">
      <c r="C25" s="30" t="s">
        <v>82</v>
      </c>
      <c r="D25" s="31">
        <v>30000</v>
      </c>
      <c r="E25" s="31">
        <v>240000</v>
      </c>
      <c r="F25" s="31">
        <v>720000</v>
      </c>
    </row>
    <row r="26" spans="3:6" ht="18" customHeight="1" x14ac:dyDescent="0.3">
      <c r="C26" s="30" t="s">
        <v>81</v>
      </c>
      <c r="D26" s="31">
        <v>22500</v>
      </c>
      <c r="E26" s="31">
        <v>360000</v>
      </c>
      <c r="F26" s="31">
        <v>1080000</v>
      </c>
    </row>
    <row r="27" spans="3:6" ht="18" customHeight="1" x14ac:dyDescent="0.3">
      <c r="C27" s="30" t="s">
        <v>9</v>
      </c>
      <c r="D27" s="31">
        <v>37500</v>
      </c>
      <c r="E27" s="31">
        <v>600000</v>
      </c>
      <c r="F27" s="31">
        <v>1800000</v>
      </c>
    </row>
    <row r="28" spans="3:6" ht="18" customHeight="1" x14ac:dyDescent="0.3">
      <c r="C28" s="30" t="s">
        <v>74</v>
      </c>
      <c r="D28" s="31">
        <v>22500</v>
      </c>
      <c r="E28" s="31">
        <v>360000</v>
      </c>
      <c r="F28" s="31">
        <v>1080000</v>
      </c>
    </row>
    <row r="29" spans="3:6" ht="18" customHeight="1" x14ac:dyDescent="0.3">
      <c r="C29" s="30" t="s">
        <v>83</v>
      </c>
      <c r="D29" s="36">
        <f>SUM(D22:D28)</f>
        <v>165000</v>
      </c>
      <c r="E29" s="36">
        <f t="shared" ref="E29:F29" si="0">SUM(E22:E28)</f>
        <v>2360000</v>
      </c>
      <c r="F29" s="36">
        <f t="shared" si="0"/>
        <v>7200000</v>
      </c>
    </row>
  </sheetData>
  <mergeCells count="2">
    <mergeCell ref="B1:H1"/>
    <mergeCell ref="C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737D-FAD0-4CCA-9664-510B90299FE2}">
  <sheetPr codeName="Sheet4"/>
  <dimension ref="C1:I29"/>
  <sheetViews>
    <sheetView zoomScale="60" zoomScaleNormal="60" workbookViewId="0">
      <selection activeCell="N10" sqref="N10"/>
    </sheetView>
  </sheetViews>
  <sheetFormatPr defaultRowHeight="15" x14ac:dyDescent="0.25"/>
  <cols>
    <col min="3" max="4" width="30.85546875" customWidth="1"/>
    <col min="5" max="5" width="38.7109375" customWidth="1"/>
    <col min="6" max="6" width="22.7109375" customWidth="1"/>
    <col min="7" max="7" width="31.7109375" customWidth="1"/>
    <col min="8" max="8" width="20.7109375" customWidth="1"/>
    <col min="9" max="9" width="19.7109375" customWidth="1"/>
  </cols>
  <sheetData>
    <row r="1" spans="3:9" ht="22.5" x14ac:dyDescent="0.3">
      <c r="C1" s="60" t="s">
        <v>165</v>
      </c>
      <c r="D1" s="66"/>
      <c r="E1" s="66"/>
      <c r="F1" s="66"/>
      <c r="G1" s="66"/>
      <c r="H1" s="66"/>
      <c r="I1" s="66"/>
    </row>
    <row r="4" spans="3:9" ht="18.75" x14ac:dyDescent="0.3">
      <c r="C4" s="23" t="s">
        <v>68</v>
      </c>
      <c r="D4" s="23" t="s">
        <v>4</v>
      </c>
      <c r="E4" s="23" t="s">
        <v>6</v>
      </c>
      <c r="F4" s="23" t="s">
        <v>3</v>
      </c>
      <c r="G4" s="23" t="s">
        <v>2</v>
      </c>
      <c r="H4" s="23" t="s">
        <v>1</v>
      </c>
      <c r="I4" s="23" t="s">
        <v>0</v>
      </c>
    </row>
    <row r="5" spans="3:9" ht="15" customHeight="1" x14ac:dyDescent="0.3">
      <c r="C5" s="26"/>
      <c r="D5" s="26"/>
      <c r="E5" s="26"/>
      <c r="F5" s="26"/>
      <c r="G5" s="26"/>
      <c r="H5" s="26"/>
      <c r="I5" s="26"/>
    </row>
    <row r="6" spans="3:9" ht="60" customHeight="1" x14ac:dyDescent="0.25">
      <c r="C6" s="40">
        <v>1</v>
      </c>
      <c r="D6" s="40" t="s">
        <v>7</v>
      </c>
      <c r="E6" s="40" t="s">
        <v>29</v>
      </c>
      <c r="F6" s="40" t="s">
        <v>100</v>
      </c>
      <c r="G6" s="40" t="s">
        <v>107</v>
      </c>
      <c r="H6" s="51" t="s">
        <v>11</v>
      </c>
      <c r="I6" s="42" t="s">
        <v>27</v>
      </c>
    </row>
    <row r="7" spans="3:9" ht="18.75" x14ac:dyDescent="0.25">
      <c r="C7" s="40"/>
      <c r="D7" s="40"/>
      <c r="E7" s="40"/>
      <c r="F7" s="40"/>
      <c r="G7" s="40"/>
      <c r="H7" s="40"/>
      <c r="I7" s="40"/>
    </row>
    <row r="8" spans="3:9" ht="60" customHeight="1" x14ac:dyDescent="0.25">
      <c r="C8" s="40">
        <v>2</v>
      </c>
      <c r="D8" s="40" t="s">
        <v>12</v>
      </c>
      <c r="E8" s="40" t="s">
        <v>40</v>
      </c>
      <c r="F8" s="40" t="s">
        <v>18</v>
      </c>
      <c r="G8" s="40" t="s">
        <v>108</v>
      </c>
      <c r="H8" s="56" t="s">
        <v>26</v>
      </c>
      <c r="I8" s="42" t="s">
        <v>27</v>
      </c>
    </row>
    <row r="9" spans="3:9" ht="15" customHeight="1" x14ac:dyDescent="0.25">
      <c r="C9" s="40"/>
      <c r="D9" s="40"/>
      <c r="E9" s="40"/>
      <c r="F9" s="40"/>
      <c r="G9" s="40"/>
      <c r="H9" s="40"/>
      <c r="I9" s="40"/>
    </row>
    <row r="10" spans="3:9" ht="60" customHeight="1" x14ac:dyDescent="0.25">
      <c r="C10" s="40">
        <v>3</v>
      </c>
      <c r="D10" s="40" t="s">
        <v>15</v>
      </c>
      <c r="E10" s="40" t="s">
        <v>102</v>
      </c>
      <c r="F10" s="40" t="s">
        <v>103</v>
      </c>
      <c r="G10" s="40" t="s">
        <v>101</v>
      </c>
      <c r="H10" s="51" t="s">
        <v>11</v>
      </c>
      <c r="I10" s="42" t="s">
        <v>27</v>
      </c>
    </row>
    <row r="11" spans="3:9" ht="18.75" x14ac:dyDescent="0.25">
      <c r="C11" s="40"/>
      <c r="D11" s="40"/>
      <c r="E11" s="40"/>
      <c r="F11" s="40"/>
      <c r="G11" s="40"/>
      <c r="H11" s="40"/>
      <c r="I11" s="40"/>
    </row>
    <row r="12" spans="3:9" ht="63.75" customHeight="1" x14ac:dyDescent="0.25">
      <c r="C12" s="40">
        <v>4</v>
      </c>
      <c r="D12" s="40" t="s">
        <v>20</v>
      </c>
      <c r="E12" s="40" t="s">
        <v>104</v>
      </c>
      <c r="F12" s="40" t="s">
        <v>105</v>
      </c>
      <c r="G12" s="40" t="s">
        <v>106</v>
      </c>
      <c r="H12" s="51" t="s">
        <v>11</v>
      </c>
      <c r="I12" s="42" t="s">
        <v>27</v>
      </c>
    </row>
    <row r="18" spans="3:7" ht="20.25" x14ac:dyDescent="0.3">
      <c r="C18" s="67" t="s">
        <v>110</v>
      </c>
      <c r="D18" s="66"/>
      <c r="E18" s="66"/>
      <c r="F18" s="66"/>
    </row>
    <row r="20" spans="3:7" ht="18.75" x14ac:dyDescent="0.3">
      <c r="D20" s="34" t="s">
        <v>71</v>
      </c>
      <c r="E20" s="34" t="s">
        <v>93</v>
      </c>
      <c r="F20" s="34" t="s">
        <v>109</v>
      </c>
      <c r="G20" s="34" t="s">
        <v>79</v>
      </c>
    </row>
    <row r="21" spans="3:7" ht="11.25" customHeight="1" x14ac:dyDescent="0.25">
      <c r="D21" s="3"/>
      <c r="E21" s="3"/>
      <c r="F21" s="3"/>
      <c r="G21" s="3"/>
    </row>
    <row r="22" spans="3:7" ht="18.75" x14ac:dyDescent="0.3">
      <c r="D22" s="30" t="s">
        <v>18</v>
      </c>
      <c r="E22" s="31">
        <v>22500</v>
      </c>
      <c r="F22" s="31">
        <v>320000</v>
      </c>
      <c r="G22" s="31">
        <v>1080000</v>
      </c>
    </row>
    <row r="23" spans="3:7" ht="18.75" x14ac:dyDescent="0.3">
      <c r="D23" s="30" t="s">
        <v>72</v>
      </c>
      <c r="E23" s="31">
        <v>15000</v>
      </c>
      <c r="F23" s="31">
        <v>240000</v>
      </c>
      <c r="G23" s="31">
        <v>720000</v>
      </c>
    </row>
    <row r="24" spans="3:7" ht="18.75" x14ac:dyDescent="0.3">
      <c r="D24" s="30" t="s">
        <v>73</v>
      </c>
      <c r="E24" s="31">
        <v>15000</v>
      </c>
      <c r="F24" s="31">
        <v>240000</v>
      </c>
      <c r="G24" s="31">
        <v>720000</v>
      </c>
    </row>
    <row r="25" spans="3:7" ht="18.75" x14ac:dyDescent="0.3">
      <c r="D25" s="30" t="s">
        <v>82</v>
      </c>
      <c r="E25" s="31">
        <v>30000</v>
      </c>
      <c r="F25" s="31">
        <v>240000</v>
      </c>
      <c r="G25" s="31">
        <v>720000</v>
      </c>
    </row>
    <row r="26" spans="3:7" ht="18.75" x14ac:dyDescent="0.3">
      <c r="D26" s="30" t="s">
        <v>81</v>
      </c>
      <c r="E26" s="31">
        <v>22500</v>
      </c>
      <c r="F26" s="31">
        <v>360000</v>
      </c>
      <c r="G26" s="31">
        <v>1080000</v>
      </c>
    </row>
    <row r="27" spans="3:7" ht="18.75" x14ac:dyDescent="0.3">
      <c r="D27" s="30" t="s">
        <v>9</v>
      </c>
      <c r="E27" s="31">
        <v>37500</v>
      </c>
      <c r="F27" s="31">
        <v>600000</v>
      </c>
      <c r="G27" s="31">
        <v>1800000</v>
      </c>
    </row>
    <row r="28" spans="3:7" ht="18.75" x14ac:dyDescent="0.3">
      <c r="D28" s="30" t="s">
        <v>74</v>
      </c>
      <c r="E28" s="31">
        <v>22500</v>
      </c>
      <c r="F28" s="31">
        <v>360000</v>
      </c>
      <c r="G28" s="31">
        <v>1080000</v>
      </c>
    </row>
    <row r="29" spans="3:7" ht="18.75" x14ac:dyDescent="0.3">
      <c r="D29" s="38" t="s">
        <v>83</v>
      </c>
      <c r="E29" s="36">
        <f>SUM(E22:E28)</f>
        <v>165000</v>
      </c>
      <c r="F29" s="36">
        <f t="shared" ref="F29:G29" si="0">SUM(F22:F28)</f>
        <v>2360000</v>
      </c>
      <c r="G29" s="36">
        <f t="shared" si="0"/>
        <v>7200000</v>
      </c>
    </row>
  </sheetData>
  <mergeCells count="2">
    <mergeCell ref="C1:I1"/>
    <mergeCell ref="C18:F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3772-DBB5-4FD5-A2AA-865A0567E915}">
  <dimension ref="C2:I29"/>
  <sheetViews>
    <sheetView zoomScale="60" zoomScaleNormal="60" workbookViewId="0">
      <selection activeCell="J22" sqref="J22"/>
    </sheetView>
  </sheetViews>
  <sheetFormatPr defaultRowHeight="15" x14ac:dyDescent="0.25"/>
  <cols>
    <col min="3" max="3" width="15.7109375" customWidth="1"/>
    <col min="4" max="4" width="30.7109375" customWidth="1"/>
    <col min="5" max="5" width="30.85546875" customWidth="1"/>
    <col min="6" max="6" width="22.85546875" customWidth="1"/>
    <col min="7" max="7" width="31.7109375" customWidth="1"/>
    <col min="8" max="8" width="15.7109375" customWidth="1"/>
    <col min="9" max="9" width="19.7109375" customWidth="1"/>
  </cols>
  <sheetData>
    <row r="2" spans="3:9" ht="18.75" x14ac:dyDescent="0.3">
      <c r="C2" s="62" t="s">
        <v>167</v>
      </c>
      <c r="D2" s="63"/>
      <c r="E2" s="63"/>
      <c r="F2" s="63"/>
      <c r="G2" s="63"/>
      <c r="H2" s="63"/>
      <c r="I2" s="63"/>
    </row>
    <row r="4" spans="3:9" ht="18.75" x14ac:dyDescent="0.3">
      <c r="C4" s="23" t="s">
        <v>68</v>
      </c>
      <c r="D4" s="23" t="s">
        <v>4</v>
      </c>
      <c r="E4" s="23" t="s">
        <v>6</v>
      </c>
      <c r="F4" s="23" t="s">
        <v>3</v>
      </c>
      <c r="G4" s="23" t="s">
        <v>2</v>
      </c>
      <c r="H4" s="23" t="s">
        <v>1</v>
      </c>
      <c r="I4" s="23" t="s">
        <v>0</v>
      </c>
    </row>
    <row r="5" spans="3:9" ht="18.75" x14ac:dyDescent="0.3">
      <c r="C5" s="26"/>
      <c r="D5" s="26"/>
      <c r="E5" s="26"/>
      <c r="F5" s="26"/>
      <c r="G5" s="26"/>
      <c r="H5" s="26"/>
      <c r="I5" s="26"/>
    </row>
    <row r="6" spans="3:9" ht="37.5" x14ac:dyDescent="0.25">
      <c r="C6" s="40">
        <v>1</v>
      </c>
      <c r="D6" s="40" t="s">
        <v>7</v>
      </c>
      <c r="E6" s="40" t="s">
        <v>115</v>
      </c>
      <c r="F6" s="40" t="s">
        <v>17</v>
      </c>
      <c r="G6" s="40" t="s">
        <v>111</v>
      </c>
      <c r="H6" s="51" t="s">
        <v>11</v>
      </c>
      <c r="I6" s="42" t="s">
        <v>27</v>
      </c>
    </row>
    <row r="7" spans="3:9" ht="18.75" x14ac:dyDescent="0.25">
      <c r="C7" s="40"/>
      <c r="D7" s="40"/>
      <c r="E7" s="40"/>
      <c r="F7" s="40"/>
      <c r="G7" s="40"/>
      <c r="H7" s="40"/>
      <c r="I7" s="40"/>
    </row>
    <row r="8" spans="3:9" ht="37.5" x14ac:dyDescent="0.25">
      <c r="C8" s="40">
        <v>2</v>
      </c>
      <c r="D8" s="40" t="s">
        <v>12</v>
      </c>
      <c r="E8" s="40" t="s">
        <v>117</v>
      </c>
      <c r="F8" s="40" t="s">
        <v>17</v>
      </c>
      <c r="G8" s="40" t="s">
        <v>112</v>
      </c>
      <c r="H8" s="51" t="s">
        <v>11</v>
      </c>
      <c r="I8" s="42" t="s">
        <v>27</v>
      </c>
    </row>
    <row r="9" spans="3:9" ht="18.75" x14ac:dyDescent="0.25">
      <c r="C9" s="40"/>
      <c r="D9" s="40"/>
      <c r="E9" s="40"/>
      <c r="F9" s="40"/>
      <c r="G9" s="40"/>
      <c r="H9" s="40"/>
      <c r="I9" s="40"/>
    </row>
    <row r="10" spans="3:9" ht="56.25" x14ac:dyDescent="0.25">
      <c r="C10" s="40">
        <v>3</v>
      </c>
      <c r="D10" s="40" t="s">
        <v>15</v>
      </c>
      <c r="E10" s="40" t="s">
        <v>118</v>
      </c>
      <c r="F10" s="40" t="s">
        <v>116</v>
      </c>
      <c r="G10" s="40" t="s">
        <v>113</v>
      </c>
      <c r="H10" s="51" t="s">
        <v>11</v>
      </c>
      <c r="I10" s="42" t="s">
        <v>27</v>
      </c>
    </row>
    <row r="11" spans="3:9" ht="18.75" x14ac:dyDescent="0.25">
      <c r="C11" s="40"/>
      <c r="D11" s="40"/>
      <c r="E11" s="40"/>
      <c r="F11" s="40"/>
      <c r="G11" s="40"/>
      <c r="H11" s="40"/>
      <c r="I11" s="40"/>
    </row>
    <row r="12" spans="3:9" ht="37.5" x14ac:dyDescent="0.25">
      <c r="C12" s="40">
        <v>4</v>
      </c>
      <c r="D12" s="40" t="s">
        <v>20</v>
      </c>
      <c r="E12" s="40" t="s">
        <v>119</v>
      </c>
      <c r="F12" s="40" t="s">
        <v>105</v>
      </c>
      <c r="G12" s="40" t="s">
        <v>114</v>
      </c>
      <c r="H12" s="51" t="s">
        <v>11</v>
      </c>
      <c r="I12" s="42" t="s">
        <v>27</v>
      </c>
    </row>
    <row r="17" spans="3:6" ht="20.25" x14ac:dyDescent="0.3">
      <c r="C17" s="67" t="s">
        <v>168</v>
      </c>
      <c r="D17" s="65"/>
      <c r="E17" s="65"/>
      <c r="F17" s="65"/>
    </row>
    <row r="20" spans="3:6" ht="18.75" x14ac:dyDescent="0.3">
      <c r="C20" s="34" t="s">
        <v>71</v>
      </c>
      <c r="D20" s="37" t="s">
        <v>93</v>
      </c>
      <c r="E20" s="37" t="s">
        <v>109</v>
      </c>
      <c r="F20" s="37" t="s">
        <v>79</v>
      </c>
    </row>
    <row r="21" spans="3:6" x14ac:dyDescent="0.25">
      <c r="C21" s="3"/>
      <c r="D21" s="3"/>
      <c r="E21" s="3"/>
      <c r="F21" s="3"/>
    </row>
    <row r="22" spans="3:6" ht="37.5" x14ac:dyDescent="0.3">
      <c r="C22" s="30" t="s">
        <v>18</v>
      </c>
      <c r="D22" s="31">
        <v>22500</v>
      </c>
      <c r="E22" s="31">
        <v>320000</v>
      </c>
      <c r="F22" s="31">
        <v>1080000</v>
      </c>
    </row>
    <row r="23" spans="3:6" ht="18" customHeight="1" x14ac:dyDescent="0.3">
      <c r="C23" s="30" t="s">
        <v>72</v>
      </c>
      <c r="D23" s="31">
        <v>15000</v>
      </c>
      <c r="E23" s="31">
        <v>240000</v>
      </c>
      <c r="F23" s="31">
        <v>720000</v>
      </c>
    </row>
    <row r="24" spans="3:6" ht="18" customHeight="1" x14ac:dyDescent="0.3">
      <c r="C24" s="30" t="s">
        <v>73</v>
      </c>
      <c r="D24" s="31">
        <v>15000</v>
      </c>
      <c r="E24" s="31">
        <v>240000</v>
      </c>
      <c r="F24" s="31">
        <v>720000</v>
      </c>
    </row>
    <row r="25" spans="3:6" ht="18" customHeight="1" x14ac:dyDescent="0.3">
      <c r="C25" s="30" t="s">
        <v>82</v>
      </c>
      <c r="D25" s="31">
        <v>30000</v>
      </c>
      <c r="E25" s="31">
        <v>240000</v>
      </c>
      <c r="F25" s="31">
        <v>720000</v>
      </c>
    </row>
    <row r="26" spans="3:6" ht="18" customHeight="1" x14ac:dyDescent="0.3">
      <c r="C26" s="30" t="s">
        <v>81</v>
      </c>
      <c r="D26" s="31">
        <v>22500</v>
      </c>
      <c r="E26" s="31">
        <v>360000</v>
      </c>
      <c r="F26" s="31">
        <v>1080000</v>
      </c>
    </row>
    <row r="27" spans="3:6" ht="18" customHeight="1" x14ac:dyDescent="0.3">
      <c r="C27" s="30" t="s">
        <v>9</v>
      </c>
      <c r="D27" s="31">
        <v>37500</v>
      </c>
      <c r="E27" s="31">
        <v>600000</v>
      </c>
      <c r="F27" s="31">
        <v>1800000</v>
      </c>
    </row>
    <row r="28" spans="3:6" ht="18" customHeight="1" x14ac:dyDescent="0.3">
      <c r="C28" s="30" t="s">
        <v>74</v>
      </c>
      <c r="D28" s="31">
        <v>22500</v>
      </c>
      <c r="E28" s="31">
        <v>360000</v>
      </c>
      <c r="F28" s="31">
        <v>1080000</v>
      </c>
    </row>
    <row r="29" spans="3:6" ht="18" customHeight="1" x14ac:dyDescent="0.3">
      <c r="C29" s="38" t="s">
        <v>83</v>
      </c>
      <c r="D29" s="36">
        <f>SUM(D22:D28)</f>
        <v>165000</v>
      </c>
      <c r="E29" s="36">
        <f t="shared" ref="E29:F29" si="0">SUM(E22:E28)</f>
        <v>2360000</v>
      </c>
      <c r="F29" s="36">
        <f t="shared" si="0"/>
        <v>7200000</v>
      </c>
    </row>
  </sheetData>
  <mergeCells count="2">
    <mergeCell ref="C17:F17"/>
    <mergeCell ref="C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2BD7-98A8-4233-95D4-D6D369334D83}">
  <sheetPr codeName="Sheet6"/>
  <dimension ref="C1:I29"/>
  <sheetViews>
    <sheetView zoomScale="60" zoomScaleNormal="60" workbookViewId="0">
      <selection activeCell="L9" sqref="L9"/>
    </sheetView>
  </sheetViews>
  <sheetFormatPr defaultRowHeight="15" x14ac:dyDescent="0.25"/>
  <cols>
    <col min="3" max="3" width="15.7109375" customWidth="1"/>
    <col min="4" max="4" width="30.7109375" customWidth="1"/>
    <col min="5" max="5" width="30.85546875" customWidth="1"/>
    <col min="6" max="6" width="22.85546875" customWidth="1"/>
    <col min="7" max="7" width="31.7109375" customWidth="1"/>
    <col min="8" max="8" width="15.85546875" customWidth="1"/>
    <col min="9" max="9" width="19.7109375" customWidth="1"/>
  </cols>
  <sheetData>
    <row r="1" spans="3:9" ht="22.5" x14ac:dyDescent="0.3">
      <c r="C1" s="60" t="s">
        <v>169</v>
      </c>
      <c r="D1" s="66"/>
      <c r="E1" s="66"/>
      <c r="F1" s="66"/>
      <c r="G1" s="66"/>
      <c r="H1" s="66"/>
      <c r="I1" s="66"/>
    </row>
    <row r="4" spans="3:9" ht="18.75" x14ac:dyDescent="0.3">
      <c r="C4" s="33"/>
      <c r="D4" s="33"/>
      <c r="E4" s="33"/>
      <c r="F4" s="33"/>
      <c r="G4" s="33"/>
      <c r="H4" s="33"/>
      <c r="I4" s="33"/>
    </row>
    <row r="5" spans="3:9" ht="30" customHeight="1" x14ac:dyDescent="0.3">
      <c r="C5" s="23" t="s">
        <v>68</v>
      </c>
      <c r="D5" s="23" t="s">
        <v>4</v>
      </c>
      <c r="E5" s="23" t="s">
        <v>6</v>
      </c>
      <c r="F5" s="23" t="s">
        <v>3</v>
      </c>
      <c r="G5" s="23" t="s">
        <v>2</v>
      </c>
      <c r="H5" s="23" t="s">
        <v>1</v>
      </c>
      <c r="I5" s="23" t="s">
        <v>0</v>
      </c>
    </row>
    <row r="6" spans="3:9" ht="18.75" x14ac:dyDescent="0.3">
      <c r="C6" s="26"/>
      <c r="D6" s="26"/>
      <c r="E6" s="26"/>
      <c r="F6" s="26"/>
      <c r="G6" s="26"/>
      <c r="H6" s="39"/>
      <c r="I6" s="39"/>
    </row>
    <row r="7" spans="3:9" ht="56.25" x14ac:dyDescent="0.25">
      <c r="C7" s="40">
        <v>1</v>
      </c>
      <c r="D7" s="40" t="s">
        <v>7</v>
      </c>
      <c r="E7" s="40" t="s">
        <v>120</v>
      </c>
      <c r="F7" s="40" t="s">
        <v>121</v>
      </c>
      <c r="G7" s="40" t="s">
        <v>122</v>
      </c>
      <c r="H7" s="52" t="s">
        <v>11</v>
      </c>
      <c r="I7" s="42" t="s">
        <v>27</v>
      </c>
    </row>
    <row r="8" spans="3:9" ht="18.75" x14ac:dyDescent="0.25">
      <c r="C8" s="40"/>
      <c r="D8" s="40"/>
      <c r="E8" s="40"/>
      <c r="F8" s="40"/>
      <c r="G8" s="40"/>
      <c r="H8" s="53"/>
      <c r="I8" s="53"/>
    </row>
    <row r="9" spans="3:9" ht="56.25" x14ac:dyDescent="0.25">
      <c r="C9" s="40">
        <v>2</v>
      </c>
      <c r="D9" s="40" t="s">
        <v>12</v>
      </c>
      <c r="E9" s="40" t="s">
        <v>123</v>
      </c>
      <c r="F9" s="40" t="s">
        <v>18</v>
      </c>
      <c r="G9" s="40" t="s">
        <v>124</v>
      </c>
      <c r="H9" s="54" t="s">
        <v>26</v>
      </c>
      <c r="I9" s="42" t="s">
        <v>27</v>
      </c>
    </row>
    <row r="10" spans="3:9" ht="18.75" x14ac:dyDescent="0.25">
      <c r="C10" s="40"/>
      <c r="D10" s="40"/>
      <c r="E10" s="40"/>
      <c r="F10" s="40"/>
      <c r="G10" s="40"/>
      <c r="H10" s="53"/>
      <c r="I10" s="53"/>
    </row>
    <row r="11" spans="3:9" ht="56.25" x14ac:dyDescent="0.25">
      <c r="C11" s="40">
        <v>3</v>
      </c>
      <c r="D11" s="40" t="s">
        <v>15</v>
      </c>
      <c r="E11" s="40" t="s">
        <v>126</v>
      </c>
      <c r="F11" s="40" t="s">
        <v>17</v>
      </c>
      <c r="G11" s="40" t="s">
        <v>125</v>
      </c>
      <c r="H11" s="52" t="s">
        <v>11</v>
      </c>
      <c r="I11" s="42" t="s">
        <v>27</v>
      </c>
    </row>
    <row r="13" spans="3:9" ht="40.5" customHeight="1" x14ac:dyDescent="0.25"/>
    <row r="18" spans="3:7" ht="20.25" x14ac:dyDescent="0.3">
      <c r="C18" s="67" t="s">
        <v>127</v>
      </c>
      <c r="D18" s="66"/>
      <c r="E18" s="66"/>
      <c r="F18" s="66"/>
    </row>
    <row r="20" spans="3:7" ht="18.75" x14ac:dyDescent="0.3">
      <c r="D20" s="34" t="s">
        <v>71</v>
      </c>
      <c r="E20" s="37" t="s">
        <v>93</v>
      </c>
      <c r="F20" s="37" t="s">
        <v>109</v>
      </c>
      <c r="G20" s="37" t="s">
        <v>79</v>
      </c>
    </row>
    <row r="21" spans="3:7" x14ac:dyDescent="0.25">
      <c r="D21" s="3"/>
      <c r="E21" s="3"/>
      <c r="F21" s="3"/>
      <c r="G21" s="3"/>
    </row>
    <row r="22" spans="3:7" ht="18.75" x14ac:dyDescent="0.3">
      <c r="D22" s="30" t="s">
        <v>18</v>
      </c>
      <c r="E22" s="31">
        <v>22500</v>
      </c>
      <c r="F22" s="31">
        <v>320000</v>
      </c>
      <c r="G22" s="31">
        <v>1080000</v>
      </c>
    </row>
    <row r="23" spans="3:7" ht="18.75" x14ac:dyDescent="0.3">
      <c r="D23" s="30" t="s">
        <v>72</v>
      </c>
      <c r="E23" s="31">
        <v>15000</v>
      </c>
      <c r="F23" s="31">
        <v>240000</v>
      </c>
      <c r="G23" s="31">
        <v>720000</v>
      </c>
    </row>
    <row r="24" spans="3:7" ht="18.75" x14ac:dyDescent="0.3">
      <c r="D24" s="30" t="s">
        <v>73</v>
      </c>
      <c r="E24" s="31">
        <v>15000</v>
      </c>
      <c r="F24" s="31">
        <v>240000</v>
      </c>
      <c r="G24" s="31">
        <v>720000</v>
      </c>
    </row>
    <row r="25" spans="3:7" ht="18.75" x14ac:dyDescent="0.3">
      <c r="D25" s="30" t="s">
        <v>82</v>
      </c>
      <c r="E25" s="31">
        <v>30000</v>
      </c>
      <c r="F25" s="31">
        <v>240000</v>
      </c>
      <c r="G25" s="31">
        <v>720000</v>
      </c>
    </row>
    <row r="26" spans="3:7" ht="18.75" x14ac:dyDescent="0.3">
      <c r="D26" s="30" t="s">
        <v>81</v>
      </c>
      <c r="E26" s="31">
        <v>22500</v>
      </c>
      <c r="F26" s="31">
        <v>360000</v>
      </c>
      <c r="G26" s="31">
        <v>1080000</v>
      </c>
    </row>
    <row r="27" spans="3:7" ht="18.75" x14ac:dyDescent="0.3">
      <c r="D27" s="30" t="s">
        <v>9</v>
      </c>
      <c r="E27" s="31">
        <v>37500</v>
      </c>
      <c r="F27" s="31">
        <v>600000</v>
      </c>
      <c r="G27" s="31">
        <v>1800000</v>
      </c>
    </row>
    <row r="28" spans="3:7" ht="18.75" x14ac:dyDescent="0.3">
      <c r="D28" s="30" t="s">
        <v>74</v>
      </c>
      <c r="E28" s="31">
        <v>22500</v>
      </c>
      <c r="F28" s="31">
        <v>360000</v>
      </c>
      <c r="G28" s="31">
        <v>1080000</v>
      </c>
    </row>
    <row r="29" spans="3:7" ht="18.75" x14ac:dyDescent="0.3">
      <c r="D29" s="38" t="s">
        <v>83</v>
      </c>
      <c r="E29" s="36">
        <f>SUM(E22:E28)</f>
        <v>165000</v>
      </c>
      <c r="F29" s="36">
        <f t="shared" ref="F29:G29" si="0">SUM(F22:F28)</f>
        <v>2360000</v>
      </c>
      <c r="G29" s="36">
        <f t="shared" si="0"/>
        <v>7200000</v>
      </c>
    </row>
  </sheetData>
  <mergeCells count="2">
    <mergeCell ref="C18:F18"/>
    <mergeCell ref="C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6FF4-E4CB-4372-9A27-A69B9E8ADB9F}">
  <sheetPr codeName="Sheet7"/>
  <dimension ref="C2:I29"/>
  <sheetViews>
    <sheetView zoomScale="60" zoomScaleNormal="60" workbookViewId="0">
      <selection activeCell="C2" sqref="C2:I2"/>
    </sheetView>
  </sheetViews>
  <sheetFormatPr defaultRowHeight="15" x14ac:dyDescent="0.25"/>
  <cols>
    <col min="3" max="3" width="25.5703125" customWidth="1"/>
    <col min="4" max="4" width="30.7109375" customWidth="1"/>
    <col min="5" max="5" width="38.7109375" customWidth="1"/>
    <col min="6" max="6" width="22.85546875" customWidth="1"/>
    <col min="7" max="7" width="31.7109375" customWidth="1"/>
    <col min="8" max="8" width="15.85546875" customWidth="1"/>
    <col min="9" max="9" width="19.7109375" customWidth="1"/>
  </cols>
  <sheetData>
    <row r="2" spans="3:9" ht="18.75" x14ac:dyDescent="0.3">
      <c r="C2" s="62" t="s">
        <v>170</v>
      </c>
      <c r="D2" s="63"/>
      <c r="E2" s="63"/>
      <c r="F2" s="63"/>
      <c r="G2" s="63"/>
      <c r="H2" s="63"/>
      <c r="I2" s="63"/>
    </row>
    <row r="4" spans="3:9" ht="18.75" x14ac:dyDescent="0.3">
      <c r="C4" s="23" t="s">
        <v>68</v>
      </c>
      <c r="D4" s="23" t="s">
        <v>4</v>
      </c>
      <c r="E4" s="23" t="s">
        <v>6</v>
      </c>
      <c r="F4" s="23" t="s">
        <v>3</v>
      </c>
      <c r="G4" s="23" t="s">
        <v>2</v>
      </c>
      <c r="H4" s="23" t="s">
        <v>1</v>
      </c>
      <c r="I4" s="23" t="s">
        <v>0</v>
      </c>
    </row>
    <row r="5" spans="3:9" ht="18.75" x14ac:dyDescent="0.3">
      <c r="C5" s="26"/>
      <c r="D5" s="26"/>
      <c r="E5" s="26"/>
      <c r="F5" s="26"/>
      <c r="G5" s="26"/>
      <c r="H5" s="26"/>
      <c r="I5" s="26"/>
    </row>
    <row r="6" spans="3:9" ht="56.25" x14ac:dyDescent="0.25">
      <c r="C6" s="40">
        <v>1</v>
      </c>
      <c r="D6" s="40" t="s">
        <v>7</v>
      </c>
      <c r="E6" s="40" t="s">
        <v>129</v>
      </c>
      <c r="F6" s="40" t="s">
        <v>130</v>
      </c>
      <c r="G6" s="40" t="s">
        <v>128</v>
      </c>
      <c r="H6" s="41" t="s">
        <v>11</v>
      </c>
      <c r="I6" s="42" t="s">
        <v>27</v>
      </c>
    </row>
    <row r="7" spans="3:9" ht="18.75" x14ac:dyDescent="0.25">
      <c r="C7" s="40"/>
      <c r="D7" s="40"/>
      <c r="E7" s="40"/>
      <c r="F7" s="40"/>
      <c r="G7" s="40"/>
      <c r="H7" s="40"/>
      <c r="I7" s="40"/>
    </row>
    <row r="8" spans="3:9" ht="56.25" x14ac:dyDescent="0.25">
      <c r="C8" s="40">
        <v>2</v>
      </c>
      <c r="D8" s="40" t="s">
        <v>12</v>
      </c>
      <c r="E8" s="40" t="s">
        <v>133</v>
      </c>
      <c r="F8" s="40" t="s">
        <v>132</v>
      </c>
      <c r="G8" s="40" t="s">
        <v>131</v>
      </c>
      <c r="H8" s="41" t="s">
        <v>11</v>
      </c>
      <c r="I8" s="42" t="s">
        <v>27</v>
      </c>
    </row>
    <row r="9" spans="3:9" ht="18.75" x14ac:dyDescent="0.25">
      <c r="C9" s="40"/>
      <c r="D9" s="40"/>
      <c r="E9" s="40"/>
      <c r="F9" s="40"/>
      <c r="G9" s="40"/>
      <c r="H9" s="40"/>
      <c r="I9" s="40"/>
    </row>
    <row r="10" spans="3:9" ht="37.5" x14ac:dyDescent="0.25">
      <c r="C10" s="40">
        <v>3</v>
      </c>
      <c r="D10" s="40" t="s">
        <v>15</v>
      </c>
      <c r="E10" s="40" t="s">
        <v>135</v>
      </c>
      <c r="F10" s="40" t="s">
        <v>17</v>
      </c>
      <c r="G10" s="40" t="s">
        <v>134</v>
      </c>
      <c r="H10" s="55" t="s">
        <v>26</v>
      </c>
      <c r="I10" s="42" t="s">
        <v>27</v>
      </c>
    </row>
    <row r="11" spans="3:9" ht="18.75" x14ac:dyDescent="0.25">
      <c r="C11" s="40"/>
      <c r="D11" s="40"/>
      <c r="E11" s="40"/>
      <c r="F11" s="40"/>
      <c r="G11" s="40"/>
      <c r="H11" s="40"/>
      <c r="I11" s="40"/>
    </row>
    <row r="12" spans="3:9" ht="37.5" x14ac:dyDescent="0.25">
      <c r="C12" s="40">
        <v>4</v>
      </c>
      <c r="D12" s="40" t="s">
        <v>20</v>
      </c>
      <c r="E12" s="40" t="s">
        <v>136</v>
      </c>
      <c r="F12" s="40" t="s">
        <v>137</v>
      </c>
      <c r="G12" s="40" t="s">
        <v>138</v>
      </c>
      <c r="H12" s="41" t="s">
        <v>11</v>
      </c>
      <c r="I12" s="43" t="s">
        <v>139</v>
      </c>
    </row>
    <row r="18" spans="3:6" ht="20.25" x14ac:dyDescent="0.3">
      <c r="C18" s="67" t="s">
        <v>162</v>
      </c>
      <c r="D18" s="65"/>
      <c r="E18" s="65"/>
      <c r="F18" s="65"/>
    </row>
    <row r="20" spans="3:6" ht="18.75" x14ac:dyDescent="0.3">
      <c r="C20" s="34" t="s">
        <v>71</v>
      </c>
      <c r="D20" s="37" t="s">
        <v>93</v>
      </c>
      <c r="E20" s="37" t="s">
        <v>109</v>
      </c>
      <c r="F20" s="37" t="s">
        <v>79</v>
      </c>
    </row>
    <row r="21" spans="3:6" x14ac:dyDescent="0.25">
      <c r="C21" s="3"/>
      <c r="D21" s="3"/>
      <c r="E21" s="3"/>
      <c r="F21" s="3"/>
    </row>
    <row r="22" spans="3:6" ht="18.75" x14ac:dyDescent="0.3">
      <c r="C22" s="30" t="s">
        <v>18</v>
      </c>
      <c r="D22" s="31">
        <v>22500</v>
      </c>
      <c r="E22" s="31">
        <v>320000</v>
      </c>
      <c r="F22" s="31">
        <v>1080000</v>
      </c>
    </row>
    <row r="23" spans="3:6" ht="18" customHeight="1" x14ac:dyDescent="0.3">
      <c r="C23" s="30" t="s">
        <v>72</v>
      </c>
      <c r="D23" s="31">
        <v>15000</v>
      </c>
      <c r="E23" s="31">
        <v>240000</v>
      </c>
      <c r="F23" s="31">
        <v>720000</v>
      </c>
    </row>
    <row r="24" spans="3:6" ht="18" customHeight="1" x14ac:dyDescent="0.3">
      <c r="C24" s="30" t="s">
        <v>73</v>
      </c>
      <c r="D24" s="31">
        <v>15000</v>
      </c>
      <c r="E24" s="31">
        <v>240000</v>
      </c>
      <c r="F24" s="31">
        <v>720000</v>
      </c>
    </row>
    <row r="25" spans="3:6" ht="18" customHeight="1" x14ac:dyDescent="0.3">
      <c r="C25" s="30" t="s">
        <v>82</v>
      </c>
      <c r="D25" s="31">
        <v>30000</v>
      </c>
      <c r="E25" s="31">
        <v>240000</v>
      </c>
      <c r="F25" s="31">
        <v>720000</v>
      </c>
    </row>
    <row r="26" spans="3:6" ht="18" customHeight="1" x14ac:dyDescent="0.3">
      <c r="C26" s="30" t="s">
        <v>81</v>
      </c>
      <c r="D26" s="31">
        <v>22500</v>
      </c>
      <c r="E26" s="31">
        <v>360000</v>
      </c>
      <c r="F26" s="31">
        <v>1080000</v>
      </c>
    </row>
    <row r="27" spans="3:6" ht="18" customHeight="1" x14ac:dyDescent="0.3">
      <c r="C27" s="30" t="s">
        <v>9</v>
      </c>
      <c r="D27" s="31">
        <v>37500</v>
      </c>
      <c r="E27" s="31">
        <v>600000</v>
      </c>
      <c r="F27" s="31">
        <v>1800000</v>
      </c>
    </row>
    <row r="28" spans="3:6" ht="18" customHeight="1" x14ac:dyDescent="0.3">
      <c r="C28" s="30" t="s">
        <v>74</v>
      </c>
      <c r="D28" s="31">
        <v>22500</v>
      </c>
      <c r="E28" s="31">
        <v>360000</v>
      </c>
      <c r="F28" s="31">
        <v>1080000</v>
      </c>
    </row>
    <row r="29" spans="3:6" ht="18" customHeight="1" x14ac:dyDescent="0.3">
      <c r="C29" s="38" t="s">
        <v>83</v>
      </c>
      <c r="D29" s="36">
        <f>SUM(D22:D28)</f>
        <v>165000</v>
      </c>
      <c r="E29" s="36">
        <f t="shared" ref="E29:F29" si="0">SUM(E22:E28)</f>
        <v>2360000</v>
      </c>
      <c r="F29" s="36">
        <f t="shared" si="0"/>
        <v>7200000</v>
      </c>
    </row>
  </sheetData>
  <mergeCells count="2">
    <mergeCell ref="C18:F18"/>
    <mergeCell ref="C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1AE4-E9DF-40EE-9988-484876BAA452}">
  <sheetPr codeName="Sheet8"/>
  <dimension ref="C1:I29"/>
  <sheetViews>
    <sheetView zoomScale="60" zoomScaleNormal="60" workbookViewId="0">
      <selection activeCell="N9" sqref="N9"/>
    </sheetView>
  </sheetViews>
  <sheetFormatPr defaultRowHeight="15" x14ac:dyDescent="0.25"/>
  <cols>
    <col min="3" max="3" width="25.7109375" customWidth="1"/>
    <col min="4" max="4" width="30.7109375" customWidth="1"/>
    <col min="5" max="5" width="30.85546875" customWidth="1"/>
    <col min="6" max="6" width="22.85546875" customWidth="1"/>
    <col min="7" max="7" width="31.7109375" customWidth="1"/>
    <col min="8" max="8" width="16" customWidth="1"/>
    <col min="9" max="9" width="17.7109375" customWidth="1"/>
  </cols>
  <sheetData>
    <row r="1" spans="3:9" ht="22.5" x14ac:dyDescent="0.3">
      <c r="C1" s="60" t="s">
        <v>171</v>
      </c>
      <c r="D1" s="66"/>
      <c r="E1" s="66"/>
      <c r="F1" s="66"/>
      <c r="G1" s="66"/>
      <c r="H1" s="66"/>
      <c r="I1" s="66"/>
    </row>
    <row r="4" spans="3:9" ht="18.75" x14ac:dyDescent="0.3">
      <c r="C4" s="23" t="s">
        <v>68</v>
      </c>
      <c r="D4" s="23" t="s">
        <v>4</v>
      </c>
      <c r="E4" s="23" t="s">
        <v>6</v>
      </c>
      <c r="F4" s="23" t="s">
        <v>3</v>
      </c>
      <c r="G4" s="23" t="s">
        <v>2</v>
      </c>
      <c r="H4" s="23" t="s">
        <v>1</v>
      </c>
      <c r="I4" s="23" t="s">
        <v>0</v>
      </c>
    </row>
    <row r="5" spans="3:9" ht="18.75" x14ac:dyDescent="0.3">
      <c r="C5" s="26"/>
      <c r="D5" s="26"/>
      <c r="E5" s="26"/>
      <c r="F5" s="26"/>
      <c r="G5" s="26"/>
      <c r="H5" s="26"/>
      <c r="I5" s="26"/>
    </row>
    <row r="6" spans="3:9" ht="56.25" x14ac:dyDescent="0.25">
      <c r="C6" s="40">
        <v>1</v>
      </c>
      <c r="D6" s="40" t="s">
        <v>7</v>
      </c>
      <c r="E6" s="40" t="s">
        <v>141</v>
      </c>
      <c r="F6" s="40" t="s">
        <v>144</v>
      </c>
      <c r="G6" s="40" t="s">
        <v>140</v>
      </c>
      <c r="H6" s="41" t="s">
        <v>11</v>
      </c>
      <c r="I6" s="42" t="s">
        <v>27</v>
      </c>
    </row>
    <row r="7" spans="3:9" ht="18.75" x14ac:dyDescent="0.25">
      <c r="C7" s="40"/>
      <c r="D7" s="40"/>
      <c r="E7" s="40"/>
      <c r="F7" s="40"/>
      <c r="G7" s="40"/>
      <c r="H7" s="40"/>
      <c r="I7" s="40"/>
    </row>
    <row r="8" spans="3:9" ht="56.25" x14ac:dyDescent="0.25">
      <c r="C8" s="40">
        <v>2</v>
      </c>
      <c r="D8" s="40" t="s">
        <v>12</v>
      </c>
      <c r="E8" s="40" t="s">
        <v>143</v>
      </c>
      <c r="F8" s="40" t="s">
        <v>146</v>
      </c>
      <c r="G8" s="40" t="s">
        <v>142</v>
      </c>
      <c r="H8" s="41" t="s">
        <v>11</v>
      </c>
      <c r="I8" s="42" t="s">
        <v>27</v>
      </c>
    </row>
    <row r="9" spans="3:9" ht="18.75" x14ac:dyDescent="0.25">
      <c r="C9" s="40"/>
      <c r="D9" s="40"/>
      <c r="E9" s="40"/>
      <c r="F9" s="40"/>
      <c r="G9" s="40"/>
      <c r="H9" s="40"/>
      <c r="I9" s="40"/>
    </row>
    <row r="10" spans="3:9" ht="56.25" x14ac:dyDescent="0.25">
      <c r="C10" s="40">
        <v>3</v>
      </c>
      <c r="D10" s="40" t="s">
        <v>15</v>
      </c>
      <c r="E10" s="40" t="s">
        <v>147</v>
      </c>
      <c r="F10" s="40" t="s">
        <v>148</v>
      </c>
      <c r="G10" s="40" t="s">
        <v>145</v>
      </c>
      <c r="H10" s="41" t="s">
        <v>11</v>
      </c>
      <c r="I10" s="43" t="s">
        <v>139</v>
      </c>
    </row>
    <row r="11" spans="3:9" ht="18.75" x14ac:dyDescent="0.25">
      <c r="C11" s="40"/>
      <c r="D11" s="40"/>
      <c r="E11" s="40"/>
      <c r="F11" s="40"/>
      <c r="G11" s="40"/>
      <c r="H11" s="40"/>
      <c r="I11" s="40"/>
    </row>
    <row r="12" spans="3:9" ht="56.25" x14ac:dyDescent="0.25">
      <c r="C12" s="40">
        <v>4</v>
      </c>
      <c r="D12" s="40" t="s">
        <v>20</v>
      </c>
      <c r="E12" s="40" t="s">
        <v>150</v>
      </c>
      <c r="F12" s="40" t="s">
        <v>151</v>
      </c>
      <c r="G12" s="40" t="s">
        <v>149</v>
      </c>
      <c r="H12" s="41" t="s">
        <v>11</v>
      </c>
      <c r="I12" s="43" t="s">
        <v>139</v>
      </c>
    </row>
    <row r="16" spans="3:9" ht="20.25" x14ac:dyDescent="0.3">
      <c r="C16" s="67" t="s">
        <v>164</v>
      </c>
      <c r="D16" s="65"/>
      <c r="E16" s="65"/>
      <c r="F16" s="65"/>
    </row>
    <row r="20" spans="3:6" ht="18.75" x14ac:dyDescent="0.3">
      <c r="C20" s="34" t="s">
        <v>71</v>
      </c>
      <c r="D20" s="37" t="s">
        <v>93</v>
      </c>
      <c r="E20" s="37" t="s">
        <v>109</v>
      </c>
      <c r="F20" s="37" t="s">
        <v>79</v>
      </c>
    </row>
    <row r="21" spans="3:6" x14ac:dyDescent="0.25">
      <c r="C21" s="3"/>
      <c r="D21" s="3"/>
      <c r="E21" s="3"/>
      <c r="F21" s="3"/>
    </row>
    <row r="22" spans="3:6" ht="18.75" x14ac:dyDescent="0.3">
      <c r="C22" s="30" t="s">
        <v>18</v>
      </c>
      <c r="D22" s="31">
        <v>22500</v>
      </c>
      <c r="E22" s="31">
        <v>320000</v>
      </c>
      <c r="F22" s="31">
        <v>1080000</v>
      </c>
    </row>
    <row r="23" spans="3:6" ht="18" customHeight="1" x14ac:dyDescent="0.3">
      <c r="C23" s="30" t="s">
        <v>72</v>
      </c>
      <c r="D23" s="31">
        <v>15000</v>
      </c>
      <c r="E23" s="31">
        <v>240000</v>
      </c>
      <c r="F23" s="31">
        <v>720000</v>
      </c>
    </row>
    <row r="24" spans="3:6" ht="18" customHeight="1" x14ac:dyDescent="0.3">
      <c r="C24" s="30" t="s">
        <v>73</v>
      </c>
      <c r="D24" s="31">
        <v>15000</v>
      </c>
      <c r="E24" s="31">
        <v>240000</v>
      </c>
      <c r="F24" s="31">
        <v>720000</v>
      </c>
    </row>
    <row r="25" spans="3:6" ht="18" customHeight="1" x14ac:dyDescent="0.3">
      <c r="C25" s="30" t="s">
        <v>82</v>
      </c>
      <c r="D25" s="31">
        <v>30000</v>
      </c>
      <c r="E25" s="31">
        <v>240000</v>
      </c>
      <c r="F25" s="31">
        <v>720000</v>
      </c>
    </row>
    <row r="26" spans="3:6" ht="18" customHeight="1" x14ac:dyDescent="0.3">
      <c r="C26" s="30" t="s">
        <v>81</v>
      </c>
      <c r="D26" s="31">
        <v>22500</v>
      </c>
      <c r="E26" s="31">
        <v>360000</v>
      </c>
      <c r="F26" s="31">
        <v>1080000</v>
      </c>
    </row>
    <row r="27" spans="3:6" ht="18" customHeight="1" x14ac:dyDescent="0.3">
      <c r="C27" s="30" t="s">
        <v>9</v>
      </c>
      <c r="D27" s="31">
        <v>37500</v>
      </c>
      <c r="E27" s="31">
        <v>600000</v>
      </c>
      <c r="F27" s="31">
        <v>1800000</v>
      </c>
    </row>
    <row r="28" spans="3:6" ht="18" customHeight="1" x14ac:dyDescent="0.3">
      <c r="C28" s="30" t="s">
        <v>74</v>
      </c>
      <c r="D28" s="31">
        <v>22500</v>
      </c>
      <c r="E28" s="31">
        <v>360000</v>
      </c>
      <c r="F28" s="31">
        <v>1080000</v>
      </c>
    </row>
    <row r="29" spans="3:6" ht="18" customHeight="1" x14ac:dyDescent="0.3">
      <c r="C29" s="38" t="s">
        <v>83</v>
      </c>
      <c r="D29" s="36">
        <f>SUM(D22:D28)</f>
        <v>165000</v>
      </c>
      <c r="E29" s="36">
        <f t="shared" ref="E29:F29" si="0">SUM(E22:E28)</f>
        <v>2360000</v>
      </c>
      <c r="F29" s="36">
        <f t="shared" si="0"/>
        <v>7200000</v>
      </c>
    </row>
  </sheetData>
  <mergeCells count="2">
    <mergeCell ref="C16:F16"/>
    <mergeCell ref="C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AAD2-5C75-42E2-BFF6-2F642FD13043}">
  <sheetPr codeName="Sheet9"/>
  <dimension ref="A1:M29"/>
  <sheetViews>
    <sheetView tabSelected="1" topLeftCell="A10" zoomScale="60" zoomScaleNormal="60" workbookViewId="0">
      <selection activeCell="L10" sqref="L10"/>
    </sheetView>
  </sheetViews>
  <sheetFormatPr defaultRowHeight="15" x14ac:dyDescent="0.25"/>
  <cols>
    <col min="2" max="2" width="6.7109375" customWidth="1"/>
    <col min="3" max="3" width="12.28515625" customWidth="1"/>
    <col min="4" max="4" width="30.7109375" customWidth="1"/>
    <col min="5" max="5" width="38.7109375" customWidth="1"/>
    <col min="6" max="6" width="22.85546875" customWidth="1"/>
    <col min="7" max="7" width="31.7109375" customWidth="1"/>
    <col min="8" max="8" width="20" customWidth="1"/>
    <col min="9" max="9" width="15.5703125" customWidth="1"/>
  </cols>
  <sheetData>
    <row r="1" spans="1:13" ht="15.75" x14ac:dyDescent="0.3">
      <c r="A1" s="64" t="s">
        <v>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4" spans="1:13" ht="25.5" customHeight="1" x14ac:dyDescent="0.25">
      <c r="C4" s="73" t="s">
        <v>68</v>
      </c>
      <c r="D4" s="73" t="s">
        <v>4</v>
      </c>
      <c r="E4" s="73" t="s">
        <v>6</v>
      </c>
      <c r="F4" s="73" t="s">
        <v>3</v>
      </c>
      <c r="G4" s="73" t="s">
        <v>2</v>
      </c>
      <c r="H4" s="73" t="s">
        <v>1</v>
      </c>
      <c r="I4" s="73" t="s">
        <v>0</v>
      </c>
    </row>
    <row r="5" spans="1:13" ht="15.75" customHeight="1" x14ac:dyDescent="0.25">
      <c r="C5" s="74"/>
      <c r="D5" s="74"/>
      <c r="E5" s="74"/>
      <c r="F5" s="74"/>
      <c r="G5" s="74"/>
      <c r="H5" s="74"/>
      <c r="I5" s="74"/>
    </row>
    <row r="6" spans="1:13" ht="67.5" customHeight="1" x14ac:dyDescent="0.25">
      <c r="C6" s="74">
        <v>1</v>
      </c>
      <c r="D6" s="74" t="s">
        <v>7</v>
      </c>
      <c r="E6" s="74" t="s">
        <v>153</v>
      </c>
      <c r="F6" s="74" t="s">
        <v>130</v>
      </c>
      <c r="G6" s="74" t="s">
        <v>152</v>
      </c>
      <c r="H6" s="78" t="s">
        <v>11</v>
      </c>
      <c r="I6" s="75" t="s">
        <v>27</v>
      </c>
    </row>
    <row r="7" spans="1:13" ht="15.75" customHeight="1" x14ac:dyDescent="0.25">
      <c r="C7" s="74"/>
      <c r="D7" s="74"/>
      <c r="E7" s="74"/>
      <c r="F7" s="74"/>
      <c r="G7" s="74"/>
      <c r="H7" s="74"/>
      <c r="I7" s="74"/>
    </row>
    <row r="8" spans="1:13" ht="50.25" customHeight="1" x14ac:dyDescent="0.25">
      <c r="C8" s="74">
        <v>2</v>
      </c>
      <c r="D8" s="74" t="s">
        <v>12</v>
      </c>
      <c r="E8" s="74" t="s">
        <v>161</v>
      </c>
      <c r="F8" s="74" t="s">
        <v>155</v>
      </c>
      <c r="G8" s="74" t="s">
        <v>154</v>
      </c>
      <c r="H8" s="76" t="s">
        <v>26</v>
      </c>
      <c r="I8" s="77" t="s">
        <v>139</v>
      </c>
    </row>
    <row r="9" spans="1:13" ht="15.75" customHeight="1" x14ac:dyDescent="0.25">
      <c r="C9" s="74"/>
      <c r="D9" s="74"/>
      <c r="E9" s="74"/>
      <c r="F9" s="74"/>
      <c r="G9" s="74"/>
      <c r="H9" s="74"/>
      <c r="I9" s="74"/>
    </row>
    <row r="10" spans="1:13" ht="45" customHeight="1" x14ac:dyDescent="0.25">
      <c r="C10" s="74">
        <v>3</v>
      </c>
      <c r="D10" s="74" t="s">
        <v>15</v>
      </c>
      <c r="E10" s="74" t="s">
        <v>158</v>
      </c>
      <c r="F10" s="74" t="s">
        <v>156</v>
      </c>
      <c r="G10" s="74" t="s">
        <v>157</v>
      </c>
      <c r="H10" s="78" t="s">
        <v>11</v>
      </c>
      <c r="I10" s="77" t="s">
        <v>139</v>
      </c>
    </row>
    <row r="11" spans="1:13" ht="15.75" customHeight="1" x14ac:dyDescent="0.25">
      <c r="C11" s="74"/>
      <c r="D11" s="74"/>
      <c r="E11" s="74"/>
      <c r="F11" s="74"/>
      <c r="G11" s="74"/>
      <c r="H11" s="74"/>
      <c r="I11" s="74"/>
    </row>
    <row r="12" spans="1:13" ht="56.25" customHeight="1" x14ac:dyDescent="0.25">
      <c r="C12" s="74">
        <v>4</v>
      </c>
      <c r="D12" s="74" t="s">
        <v>20</v>
      </c>
      <c r="E12" s="74" t="s">
        <v>160</v>
      </c>
      <c r="F12" s="74" t="s">
        <v>21</v>
      </c>
      <c r="G12" s="74" t="s">
        <v>159</v>
      </c>
      <c r="H12" s="78" t="s">
        <v>11</v>
      </c>
      <c r="I12" s="77" t="s">
        <v>139</v>
      </c>
    </row>
    <row r="16" spans="1:13" ht="20.25" x14ac:dyDescent="0.3">
      <c r="C16" s="67" t="s">
        <v>163</v>
      </c>
      <c r="D16" s="65"/>
      <c r="E16" s="65"/>
      <c r="F16" s="65"/>
    </row>
    <row r="20" spans="4:7" ht="18.75" x14ac:dyDescent="0.3">
      <c r="D20" s="34" t="s">
        <v>71</v>
      </c>
      <c r="E20" s="37" t="s">
        <v>93</v>
      </c>
      <c r="F20" s="37" t="s">
        <v>109</v>
      </c>
      <c r="G20" s="37" t="s">
        <v>79</v>
      </c>
    </row>
    <row r="21" spans="4:7" x14ac:dyDescent="0.25">
      <c r="D21" s="3"/>
      <c r="E21" s="3"/>
      <c r="F21" s="3"/>
      <c r="G21" s="3"/>
    </row>
    <row r="22" spans="4:7" ht="18.75" x14ac:dyDescent="0.3">
      <c r="D22" s="30" t="s">
        <v>18</v>
      </c>
      <c r="E22" s="31">
        <v>22500</v>
      </c>
      <c r="F22" s="31">
        <v>320000</v>
      </c>
      <c r="G22" s="31">
        <v>1080000</v>
      </c>
    </row>
    <row r="23" spans="4:7" ht="18.75" x14ac:dyDescent="0.3">
      <c r="D23" s="30" t="s">
        <v>72</v>
      </c>
      <c r="E23" s="31">
        <v>15000</v>
      </c>
      <c r="F23" s="31">
        <v>240000</v>
      </c>
      <c r="G23" s="31">
        <v>720000</v>
      </c>
    </row>
    <row r="24" spans="4:7" ht="18.75" x14ac:dyDescent="0.3">
      <c r="D24" s="30" t="s">
        <v>73</v>
      </c>
      <c r="E24" s="31">
        <v>15000</v>
      </c>
      <c r="F24" s="31">
        <v>240000</v>
      </c>
      <c r="G24" s="31">
        <v>720000</v>
      </c>
    </row>
    <row r="25" spans="4:7" ht="18.75" x14ac:dyDescent="0.3">
      <c r="D25" s="30" t="s">
        <v>82</v>
      </c>
      <c r="E25" s="31">
        <v>30000</v>
      </c>
      <c r="F25" s="31">
        <v>240000</v>
      </c>
      <c r="G25" s="31">
        <v>720000</v>
      </c>
    </row>
    <row r="26" spans="4:7" ht="18.75" x14ac:dyDescent="0.3">
      <c r="D26" s="30" t="s">
        <v>81</v>
      </c>
      <c r="E26" s="31">
        <v>22500</v>
      </c>
      <c r="F26" s="31">
        <v>360000</v>
      </c>
      <c r="G26" s="31">
        <v>1080000</v>
      </c>
    </row>
    <row r="27" spans="4:7" ht="18.75" x14ac:dyDescent="0.3">
      <c r="D27" s="30" t="s">
        <v>9</v>
      </c>
      <c r="E27" s="31">
        <v>37500</v>
      </c>
      <c r="F27" s="31">
        <v>600000</v>
      </c>
      <c r="G27" s="31">
        <v>1800000</v>
      </c>
    </row>
    <row r="28" spans="4:7" ht="18.75" x14ac:dyDescent="0.3">
      <c r="D28" s="30" t="s">
        <v>74</v>
      </c>
      <c r="E28" s="31">
        <v>22500</v>
      </c>
      <c r="F28" s="31">
        <v>360000</v>
      </c>
      <c r="G28" s="31">
        <v>1080000</v>
      </c>
    </row>
    <row r="29" spans="4:7" ht="18.75" x14ac:dyDescent="0.3">
      <c r="D29" s="38" t="s">
        <v>83</v>
      </c>
      <c r="E29" s="36">
        <f>SUM(E22:E28)</f>
        <v>165000</v>
      </c>
      <c r="F29" s="36">
        <f t="shared" ref="F29:G29" si="0">SUM(F22:F28)</f>
        <v>2360000</v>
      </c>
      <c r="G29" s="36">
        <f t="shared" si="0"/>
        <v>7200000</v>
      </c>
    </row>
  </sheetData>
  <mergeCells count="2">
    <mergeCell ref="A1:M1"/>
    <mergeCell ref="C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Backlog</vt:lpstr>
      <vt:lpstr>Sprint 1</vt:lpstr>
      <vt:lpstr>Sprint 2</vt:lpstr>
      <vt:lpstr>Sprint 3</vt:lpstr>
      <vt:lpstr>Sprint 4</vt:lpstr>
      <vt:lpstr>Sprint 5</vt:lpstr>
      <vt:lpstr>Sprint 6</vt:lpstr>
      <vt:lpstr>Sprint 7</vt:lpstr>
      <vt:lpstr>Sprint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MAKHEJA</dc:creator>
  <cp:lastModifiedBy>VAIBHAV MAKHEJA</cp:lastModifiedBy>
  <dcterms:created xsi:type="dcterms:W3CDTF">2024-12-29T12:23:48Z</dcterms:created>
  <dcterms:modified xsi:type="dcterms:W3CDTF">2025-01-01T13:47:57Z</dcterms:modified>
</cp:coreProperties>
</file>